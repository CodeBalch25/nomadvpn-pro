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timud\nomadvpn-pro\memory\"/>
    </mc:Choice>
  </mc:AlternateContent>
  <xr:revisionPtr revIDLastSave="0" documentId="8_{9507FD5C-7A17-4A1F-9B74-698E650B9D43}" xr6:coauthVersionLast="47" xr6:coauthVersionMax="47" xr10:uidLastSave="{00000000-0000-0000-0000-000000000000}"/>
  <bookViews>
    <workbookView xWindow="33660" yWindow="-15165" windowWidth="23040" windowHeight="11775" tabRatio="500" xr2:uid="{00000000-000D-0000-FFFF-FFFF00000000}"/>
  </bookViews>
  <sheets>
    <sheet name="Dashboard" sheetId="1" r:id="rId1"/>
    <sheet name="Market Research" sheetId="2" r:id="rId2"/>
    <sheet name="90-Day Timeline" sheetId="3" r:id="rId3"/>
    <sheet name="Reddit Tracker" sheetId="4" r:id="rId4"/>
    <sheet name="YouTube Tracker" sheetId="5" r:id="rId5"/>
    <sheet name="Customers" sheetId="6" r:id="rId6"/>
    <sheet name="Expenses" sheetId="7" r:id="rId7"/>
    <sheet name="Reddit Templates" sheetId="8"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6" i="7" l="1"/>
  <c r="B25" i="7"/>
  <c r="D20" i="7"/>
  <c r="B30" i="6"/>
  <c r="B29" i="6"/>
  <c r="B28" i="6"/>
  <c r="B27" i="6"/>
  <c r="I10" i="5"/>
  <c r="H10" i="5"/>
  <c r="G10" i="5"/>
  <c r="F10" i="5"/>
  <c r="E10" i="5"/>
  <c r="G11" i="4"/>
  <c r="F11" i="4"/>
  <c r="E11" i="4"/>
  <c r="D11" i="4"/>
  <c r="D19" i="1"/>
  <c r="D18" i="1"/>
  <c r="D17" i="1"/>
  <c r="D20" i="1" s="1"/>
  <c r="D12" i="1"/>
  <c r="D11" i="1"/>
  <c r="D10" i="1"/>
  <c r="D9" i="1"/>
  <c r="D8" i="1"/>
  <c r="D7" i="1"/>
  <c r="D6" i="1"/>
</calcChain>
</file>

<file path=xl/sharedStrings.xml><?xml version="1.0" encoding="utf-8"?>
<sst xmlns="http://schemas.openxmlformats.org/spreadsheetml/2006/main" count="479" uniqueCount="364">
  <si>
    <t>NomadVPN Pro - Marketing Launch Tracker</t>
  </si>
  <si>
    <t>Last Updated: December 23, 2025</t>
  </si>
  <si>
    <t>KEY METRICS - MONTH 1 TARGETS</t>
  </si>
  <si>
    <t>Metric</t>
  </si>
  <si>
    <t>Target</t>
  </si>
  <si>
    <t>Actual</t>
  </si>
  <si>
    <t>% Complete</t>
  </si>
  <si>
    <t>Website Visitors</t>
  </si>
  <si>
    <t>Email Subscribers</t>
  </si>
  <si>
    <t>Reddit Upvotes</t>
  </si>
  <si>
    <t>YouTube Views</t>
  </si>
  <si>
    <t>Consultations Booked</t>
  </si>
  <si>
    <t>Customers</t>
  </si>
  <si>
    <t>Revenue ($)</t>
  </si>
  <si>
    <t>REVENUE TRACKER</t>
  </si>
  <si>
    <t>Service Tier</t>
  </si>
  <si>
    <t>Price</t>
  </si>
  <si>
    <t>Qty Sold</t>
  </si>
  <si>
    <t>Revenue</t>
  </si>
  <si>
    <t>Essential Setup</t>
  </si>
  <si>
    <t>Premium + Support</t>
  </si>
  <si>
    <t>Remote VPN Access (monthly)</t>
  </si>
  <si>
    <t>TOTAL REVENUE</t>
  </si>
  <si>
    <t>MARKET RESEARCH - DEMAND VALIDATION</t>
  </si>
  <si>
    <t>Validation Score: 9.0/10 - Massive Validated Demand</t>
  </si>
  <si>
    <t>VALIDATION FACTORS</t>
  </si>
  <si>
    <t>Factor</t>
  </si>
  <si>
    <t>Score</t>
  </si>
  <si>
    <t>Evidence</t>
  </si>
  <si>
    <t>Question Volume</t>
  </si>
  <si>
    <t>10/10</t>
  </si>
  <si>
    <t>Questions posted DAILY across 5+ platforms</t>
  </si>
  <si>
    <t>Recent Growth</t>
  </si>
  <si>
    <t>Accelerating 2024-2025 (matured from 'is this possible' to 'what's best way')</t>
  </si>
  <si>
    <t>User Frustration</t>
  </si>
  <si>
    <t>9/10</t>
  </si>
  <si>
    <t>Repeated 'how do I' despite free DIY guides existing</t>
  </si>
  <si>
    <t>Willingness to Pay</t>
  </si>
  <si>
    <t>8/10</t>
  </si>
  <si>
    <t>KeepYourHomeIP has paying customers at premium prices</t>
  </si>
  <si>
    <t>Technical Barrier</t>
  </si>
  <si>
    <t>15-20 hours DIY, networking knowledge required</t>
  </si>
  <si>
    <t>Market Size</t>
  </si>
  <si>
    <t>18.1M US digital nomads, 22M remote workers</t>
  </si>
  <si>
    <t>Competition</t>
  </si>
  <si>
    <t>3/10</t>
  </si>
  <si>
    <t>Very few turnkey commercial services exist</t>
  </si>
  <si>
    <t>COMPETITOR ANALYSIS</t>
  </si>
  <si>
    <t>Competitor</t>
  </si>
  <si>
    <t>Offering</t>
  </si>
  <si>
    <t>Pricing</t>
  </si>
  <si>
    <t>Key Quote/Evidence</t>
  </si>
  <si>
    <t>Your Advantage</t>
  </si>
  <si>
    <t>KeepYourHomeIP</t>
  </si>
  <si>
    <t>Preconfigured routers + VPN server setup</t>
  </si>
  <si>
    <t>$200-500+ (business)</t>
  </si>
  <si>
    <t>"Routers arrived preconfigured...worked from Spain"</t>
  </si>
  <si>
    <t>Same service, competitive pricing, Fortune 500 tested</t>
  </si>
  <si>
    <t>Rocky in Reel Time</t>
  </si>
  <si>
    <t>YouTube content + consulting</t>
  </si>
  <si>
    <t>Unknown consulting</t>
  </si>
  <si>
    <t>Uses identical Flint 2 + Beryl AX stack</t>
  </si>
  <si>
    <t>Turnkey product vs hourly consulting</t>
  </si>
  <si>
    <t>Commercial VPNs</t>
  </si>
  <si>
    <t>Data center VPN service</t>
  </si>
  <si>
    <t>$3-15/month</t>
  </si>
  <si>
    <t>Users complain: "gets detected and blocked"</t>
  </si>
  <si>
    <t>Residential IP unblockable</t>
  </si>
  <si>
    <t>DIY Raspberry Pi</t>
  </si>
  <si>
    <t>Self-configured VPN server</t>
  </si>
  <si>
    <t>$50-100 hardware</t>
  </si>
  <si>
    <t>Requires 15-20 hours + Linux expertise</t>
  </si>
  <si>
    <t>Zero technical knowledge needed</t>
  </si>
  <si>
    <t>TOP QUESTIONS FROM FORUMS (Exact Quotes)</t>
  </si>
  <si>
    <t>Question</t>
  </si>
  <si>
    <t>Platform</t>
  </si>
  <si>
    <t>Date</t>
  </si>
  <si>
    <t>Relevance</t>
  </si>
  <si>
    <t>Opportunity</t>
  </si>
  <si>
    <t>How can I work remotely from another country when my company does not allow?</t>
  </si>
  <si>
    <t>r/VPN</t>
  </si>
  <si>
    <t>Dec 2023</t>
  </si>
  <si>
    <t>GATEWAY</t>
  </si>
  <si>
    <t>$699 Essential Setup</t>
  </si>
  <si>
    <t>What's a foolproof way to hide my location from my employer?</t>
  </si>
  <si>
    <t>Feb 2023</t>
  </si>
  <si>
    <t>HIGH INTENT</t>
  </si>
  <si>
    <t>Turnkey solution</t>
  </si>
  <si>
    <t>Living outside USA with remote job. Is a VPN really necessary?</t>
  </si>
  <si>
    <t>r/remotework</t>
  </si>
  <si>
    <t>Feb 2025</t>
  </si>
  <si>
    <t>EDUCATION</t>
  </si>
  <si>
    <t>Content marketing</t>
  </si>
  <si>
    <t>Traveling while working. Need to hide location. Is this VPN method legit?</t>
  </si>
  <si>
    <t>r/digitalnomad</t>
  </si>
  <si>
    <t>Sep 2021</t>
  </si>
  <si>
    <t>VALIDATION</t>
  </si>
  <si>
    <t>Your exact hardware</t>
  </si>
  <si>
    <t>How to work remotely with VPN - no software needed</t>
  </si>
  <si>
    <t>Jul 2022</t>
  </si>
  <si>
    <t>DIY FATIGUE</t>
  </si>
  <si>
    <t>Done-for-you service</t>
  </si>
  <si>
    <t>Working from overseas - how to avoid VPN detection by employer?</t>
  </si>
  <si>
    <t>Apr 2025</t>
  </si>
  <si>
    <t>CURRENT</t>
  </si>
  <si>
    <t>GL.iNet named specifically</t>
  </si>
  <si>
    <t>VPN'ing into work from another country</t>
  </si>
  <si>
    <t>Apr 2022</t>
  </si>
  <si>
    <t>NEED HELP</t>
  </si>
  <si>
    <t>No friend/family needed</t>
  </si>
  <si>
    <t>How many of you are hiding your location from your employer?</t>
  </si>
  <si>
    <t>MAINSTREAM</t>
  </si>
  <si>
    <t>Pre-trip testing add-on</t>
  </si>
  <si>
    <t>Is it possible to hide location from company VPN?</t>
  </si>
  <si>
    <t>TECHNICAL</t>
  </si>
  <si>
    <t>Your Flint2+Beryl model</t>
  </si>
  <si>
    <t>Working remotely abroad with VPN?</t>
  </si>
  <si>
    <t>r/VMwareHorizon</t>
  </si>
  <si>
    <t>Jun 2023</t>
  </si>
  <si>
    <t>SHORT TERM</t>
  </si>
  <si>
    <t>Rental packages opportunity</t>
  </si>
  <si>
    <t>TARGET CUSTOMER PROFILE</t>
  </si>
  <si>
    <t>Attribute</t>
  </si>
  <si>
    <t>Details</t>
  </si>
  <si>
    <t>Age Range</t>
  </si>
  <si>
    <t>25-45</t>
  </si>
  <si>
    <t>Income</t>
  </si>
  <si>
    <t>$60K-150K+ (white collar remote)</t>
  </si>
  <si>
    <t>Industries</t>
  </si>
  <si>
    <t>Tech, marketing, creative, consulting</t>
  </si>
  <si>
    <t>Tech Level</t>
  </si>
  <si>
    <t>Tech-savvy but NOT network engineers</t>
  </si>
  <si>
    <t>Use Case 1</t>
  </si>
  <si>
    <t>Extended Travel: 2-6 months abroad (largest segment)</t>
  </si>
  <si>
    <t>Use Case 2</t>
  </si>
  <si>
    <t>Family Obligations: 2-8 weeks caring for relatives</t>
  </si>
  <si>
    <t>Use Case 3</t>
  </si>
  <si>
    <t>Digital Nomad Testing: 2-4 weeks trial</t>
  </si>
  <si>
    <t>Use Case 4</t>
  </si>
  <si>
    <t>Short Business Travel: 2-3 days (rental opportunity)</t>
  </si>
  <si>
    <t>Pain: Technical</t>
  </si>
  <si>
    <t>"I'm not technical at all" - recurring theme</t>
  </si>
  <si>
    <t>Pain: Time</t>
  </si>
  <si>
    <t>Spending 15-20 hours researching/configuring</t>
  </si>
  <si>
    <t>Pain: Fear</t>
  </si>
  <si>
    <t>Detection anxiety - job loss risk</t>
  </si>
  <si>
    <t>Pain: Reliability</t>
  </si>
  <si>
    <t>Commercial VPNs too slow or blocked</t>
  </si>
  <si>
    <t>CONTENT OPPORTUNITIES</t>
  </si>
  <si>
    <t>Type</t>
  </si>
  <si>
    <t>Title/Keyword</t>
  </si>
  <si>
    <t>Intent Level</t>
  </si>
  <si>
    <t>Priority</t>
  </si>
  <si>
    <t>YouTube</t>
  </si>
  <si>
    <t>How I've Worked from 15 Countries Without My Employer Knowing</t>
  </si>
  <si>
    <t>HIGH</t>
  </si>
  <si>
    <t>Week 3</t>
  </si>
  <si>
    <t>GL.iNet Flint 2 Complete Setup Guide for Remote Workers</t>
  </si>
  <si>
    <t>Week 2</t>
  </si>
  <si>
    <t>Why Commercial VPNs Fail for Remote Work</t>
  </si>
  <si>
    <t>MEDIUM</t>
  </si>
  <si>
    <t>Week 4</t>
  </si>
  <si>
    <t>Blog/SEO</t>
  </si>
  <si>
    <t>work remotely from another country (keyword)</t>
  </si>
  <si>
    <t>HIGH VOLUME</t>
  </si>
  <si>
    <t>hide location from employer VPN (keyword)</t>
  </si>
  <si>
    <t>HIGH CONVERSION</t>
  </si>
  <si>
    <t>GL.iNet Flint 2 setup guide (keyword)</t>
  </si>
  <si>
    <t>VERY HIGH CONV</t>
  </si>
  <si>
    <t>Reddit Post</t>
  </si>
  <si>
    <t>I've been working remotely from abroad using GL.iNet for 2+ years...</t>
  </si>
  <si>
    <t>AUTHORITY</t>
  </si>
  <si>
    <t>Reddit AMA</t>
  </si>
  <si>
    <t>Fortune 500 VPN expert - AMA about working abroad securely</t>
  </si>
  <si>
    <t>LEADS</t>
  </si>
  <si>
    <t>Week 5</t>
  </si>
  <si>
    <t>MESSAGING VALIDATION</t>
  </si>
  <si>
    <t>Message</t>
  </si>
  <si>
    <t>User Response</t>
  </si>
  <si>
    <t>❌ AVOID</t>
  </si>
  <si>
    <t>Hide from your employer</t>
  </si>
  <si>
    <t>Users reject deceptive framing</t>
  </si>
  <si>
    <t>Deceive your company</t>
  </si>
  <si>
    <t>Negative association</t>
  </si>
  <si>
    <t>Break the rules</t>
  </si>
  <si>
    <t>Too risky sounding</t>
  </si>
  <si>
    <t>✅ USE</t>
  </si>
  <si>
    <t>Privacy protection for remote work</t>
  </si>
  <si>
    <t>Positive framing</t>
  </si>
  <si>
    <t>Secure international connectivity</t>
  </si>
  <si>
    <t>Professional tone</t>
  </si>
  <si>
    <t>Work from anywhere while maintaining security</t>
  </si>
  <si>
    <t>Value-focused</t>
  </si>
  <si>
    <t>Enterprise-tested VPN setup</t>
  </si>
  <si>
    <t>Credibility builder</t>
  </si>
  <si>
    <t>Zero detection track record</t>
  </si>
  <si>
    <t>Results-focused</t>
  </si>
  <si>
    <t>90-DAY LAUNCH TIMELINE</t>
  </si>
  <si>
    <t>Week</t>
  </si>
  <si>
    <t>Phase</t>
  </si>
  <si>
    <t>Task</t>
  </si>
  <si>
    <t>Due Date</t>
  </si>
  <si>
    <t>Status</t>
  </si>
  <si>
    <t>Notes</t>
  </si>
  <si>
    <t>Week 1</t>
  </si>
  <si>
    <t>Foundation</t>
  </si>
  <si>
    <t>Apply GL.iNet Affiliate Program</t>
  </si>
  <si>
    <t>Not Started</t>
  </si>
  <si>
    <t>https://www.gl-inet.com/affiliate-program/</t>
  </si>
  <si>
    <t>Apply GL.iNet Reseller Program</t>
  </si>
  <si>
    <t>https://www.gl-inet.com/form/become-a-reseller/</t>
  </si>
  <si>
    <t>Create Reddit Account</t>
  </si>
  <si>
    <t>u/NomadVPNPro or similar</t>
  </si>
  <si>
    <t>Start Reddit Commenting (build karma)</t>
  </si>
  <si>
    <t>10+ helpful comments on r/digitalnomad, r/GlInet</t>
  </si>
  <si>
    <t>Set up Email Capture</t>
  </si>
  <si>
    <t>ConvertKit or Mailchimp free tier</t>
  </si>
  <si>
    <t>Create Lead Magnet PDF</t>
  </si>
  <si>
    <t>Travel Router Comparison Guide 2025</t>
  </si>
  <si>
    <t>Join GL.iNet Forum</t>
  </si>
  <si>
    <t>Introduce yourself, be helpful</t>
  </si>
  <si>
    <t>Script First YouTube Video</t>
  </si>
  <si>
    <t>GL.iNet Flint 2 Complete Setup Guide</t>
  </si>
  <si>
    <t>Content Launch</t>
  </si>
  <si>
    <t>First Reddit Educational Post</t>
  </si>
  <si>
    <t>Use template from MARKETING_PLAYBOOK.md</t>
  </si>
  <si>
    <t>Publish First YouTube Video</t>
  </si>
  <si>
    <t>GL.iNet Flint 2 Setup Guide</t>
  </si>
  <si>
    <t>First Blog Post Live</t>
  </si>
  <si>
    <t>SEO-optimized for 'gl inet flint 2 vpn setup'</t>
  </si>
  <si>
    <t>GL.iNet Affiliate Approved</t>
  </si>
  <si>
    <t>Add links to all content</t>
  </si>
  <si>
    <t>Collect Beta Testimonials</t>
  </si>
  <si>
    <t>From any early conversations</t>
  </si>
  <si>
    <t>Amplification</t>
  </si>
  <si>
    <t>Reddit AMA Post</t>
  </si>
  <si>
    <t>Fortune 500 VPN expert AMA</t>
  </si>
  <si>
    <t>Week 6</t>
  </si>
  <si>
    <t>Second YouTube Video</t>
  </si>
  <si>
    <t>Best Travel Router 2025</t>
  </si>
  <si>
    <t>Email Sequence Automated</t>
  </si>
  <si>
    <t>5-email welcome sequence</t>
  </si>
  <si>
    <t>Week 7</t>
  </si>
  <si>
    <t>Third YouTube Video</t>
  </si>
  <si>
    <t>Commercial vs Home VPN</t>
  </si>
  <si>
    <t>Week 8</t>
  </si>
  <si>
    <t>GL.iNet Reseller Approved</t>
  </si>
  <si>
    <t>Wholesale pricing active</t>
  </si>
  <si>
    <t>Consider Reddit Ad Test</t>
  </si>
  <si>
    <t>$100-200 test budget</t>
  </si>
  <si>
    <t>Week 9</t>
  </si>
  <si>
    <t>Optimization</t>
  </si>
  <si>
    <t>Analyze Traffic Sources</t>
  </si>
  <si>
    <t>Google Analytics review</t>
  </si>
  <si>
    <t>Week 10</t>
  </si>
  <si>
    <t>Double Down on Winners</t>
  </si>
  <si>
    <t>Scale what's working</t>
  </si>
  <si>
    <t>Week 11</t>
  </si>
  <si>
    <t>Launch Referral Program</t>
  </si>
  <si>
    <t>$100-200 per referral</t>
  </si>
  <si>
    <t>Week 12</t>
  </si>
  <si>
    <t>Collect Video Testimonials</t>
  </si>
  <si>
    <t>From first customers</t>
  </si>
  <si>
    <t>Plan Q2 Strategy</t>
  </si>
  <si>
    <t>Review and adjust</t>
  </si>
  <si>
    <t>REDDIT MARKETING TRACKER</t>
  </si>
  <si>
    <t>Subreddit Targets</t>
  </si>
  <si>
    <t>Subreddit</t>
  </si>
  <si>
    <t>Members</t>
  </si>
  <si>
    <t>Posts Made</t>
  </si>
  <si>
    <t>Comments Made</t>
  </si>
  <si>
    <t>Upvotes Earned</t>
  </si>
  <si>
    <t>Leads Generated</t>
  </si>
  <si>
    <t>2M+</t>
  </si>
  <si>
    <t>High</t>
  </si>
  <si>
    <t>Primary target - educational posts</t>
  </si>
  <si>
    <t>r/GlInet</t>
  </si>
  <si>
    <t>15K</t>
  </si>
  <si>
    <t>Very High</t>
  </si>
  <si>
    <t>Technical audience, receptive</t>
  </si>
  <si>
    <t>500K</t>
  </si>
  <si>
    <t>Commercial vs residential content</t>
  </si>
  <si>
    <t>400K</t>
  </si>
  <si>
    <t>Work-from-anywhere focus</t>
  </si>
  <si>
    <t>r/homelab</t>
  </si>
  <si>
    <t>2M</t>
  </si>
  <si>
    <t>Medium</t>
  </si>
  <si>
    <t>Technical setup guides</t>
  </si>
  <si>
    <t>r/overemployed</t>
  </si>
  <si>
    <t>200K</t>
  </si>
  <si>
    <t>Stealth work solutions</t>
  </si>
  <si>
    <t>TOTALS</t>
  </si>
  <si>
    <t>Post History</t>
  </si>
  <si>
    <t>Post Title</t>
  </si>
  <si>
    <t>Upvotes</t>
  </si>
  <si>
    <t>Comments</t>
  </si>
  <si>
    <t>Leads</t>
  </si>
  <si>
    <t>Link</t>
  </si>
  <si>
    <t>YOUTUBE CONTENT TRACKER</t>
  </si>
  <si>
    <t>Video Content Plan</t>
  </si>
  <si>
    <t>Video Title</t>
  </si>
  <si>
    <t>Target Keywords</t>
  </si>
  <si>
    <t>Publish Date</t>
  </si>
  <si>
    <t>Views</t>
  </si>
  <si>
    <t>Likes</t>
  </si>
  <si>
    <t>Subscribers Gained</t>
  </si>
  <si>
    <t>gl inet flint 2 setup, wireguard home server</t>
  </si>
  <si>
    <t>Best Travel Router 2025 - Beryl AX Review</t>
  </si>
  <si>
    <t>best travel router, beryl ax review</t>
  </si>
  <si>
    <t>vpn for remote work, nordvpn blocked</t>
  </si>
  <si>
    <t>Work From Anywhere Setup Guide</t>
  </si>
  <si>
    <t>digital nomad vpn, work remotely abroad</t>
  </si>
  <si>
    <t>Home VPN vs NordVPN Comparison</t>
  </si>
  <si>
    <t>home vpn vs nordvpn, residential vpn</t>
  </si>
  <si>
    <t>Channel Metrics</t>
  </si>
  <si>
    <t>Total Subscribers</t>
  </si>
  <si>
    <t>Total Views</t>
  </si>
  <si>
    <t>Watch Time (hours)</t>
  </si>
  <si>
    <t>Click-through Rate (%)</t>
  </si>
  <si>
    <t>CUSTOMER &amp; LEAD TRACKER</t>
  </si>
  <si>
    <t>Name</t>
  </si>
  <si>
    <t>Email</t>
  </si>
  <si>
    <t>Phone</t>
  </si>
  <si>
    <t>Source</t>
  </si>
  <si>
    <t>Testimonial?</t>
  </si>
  <si>
    <t>Referral Source</t>
  </si>
  <si>
    <t>SUMMARY</t>
  </si>
  <si>
    <t>Total Leads</t>
  </si>
  <si>
    <t>Consultations</t>
  </si>
  <si>
    <t>Converted</t>
  </si>
  <si>
    <t>Total Revenue</t>
  </si>
  <si>
    <t>EXPENSE TRACKER</t>
  </si>
  <si>
    <t>Category</t>
  </si>
  <si>
    <t>Description</t>
  </si>
  <si>
    <t>Amount</t>
  </si>
  <si>
    <t>Hardware Inventory</t>
  </si>
  <si>
    <t>2x Flint 2 + 3x Beryl AX</t>
  </si>
  <si>
    <t>Initial fulfillment stock</t>
  </si>
  <si>
    <t>Email Marketing</t>
  </si>
  <si>
    <t>ConvertKit/Mailchimp</t>
  </si>
  <si>
    <t>Free tier initially</t>
  </si>
  <si>
    <t>Video Equipment</t>
  </si>
  <si>
    <t>Phone + free editing</t>
  </si>
  <si>
    <t>Use existing equipment</t>
  </si>
  <si>
    <t>Reddit Ads</t>
  </si>
  <si>
    <t>Test budget (optional)</t>
  </si>
  <si>
    <t>After organic traction</t>
  </si>
  <si>
    <t>Domain/Hosting</t>
  </si>
  <si>
    <t>Already deployed</t>
  </si>
  <si>
    <t>Railway + Cloudflare</t>
  </si>
  <si>
    <t>TOTAL EXPENSES</t>
  </si>
  <si>
    <t>BUDGET SUMMARY</t>
  </si>
  <si>
    <t>Planned Budget</t>
  </si>
  <si>
    <t>Actual Spent</t>
  </si>
  <si>
    <t>Remaining</t>
  </si>
  <si>
    <t>REDDIT POST TEMPLATES</t>
  </si>
  <si>
    <t>TEMPLATE 1: Educational Story Post (r/digitalnomad)</t>
  </si>
  <si>
    <t>Title: How I've Been Working Remotely From Abroad for 2+ Years (My Setup)
Hey everyone,
I've seen a lot of questions lately about VPNs and working abroad, so I wanted to share what's actually worked for me.
**The Problem**: Commercial VPNs (NordVPN, ExpressVPN) use data center IPs that get detected and blocked. I learned this the hard way when [Slack/Zoom/company VPN] flagged my connection from Portugal.
**The Solution**: I set up my own WireGuard VPN server at home using a GL.iNet Flint 2 router. When I travel, I bring a Beryl AX travel router that connects to my home server. My traffic exits through my actual residential IP - identical to working from my living room.
**Results**: 
- Tested across [Nike/AT&amp;T/government networks] - zero detection
- 50+ countries over 3 years
- Speed: ~80% of my home connection (depends on local internet)
**Hardware**:
- Home: GL.iNet Flint 2 ($130)
- Travel: GL.iNet Beryl AX ($110)
- Kill switch enabled (drops connection if VPN fails)
Happy to answer questions about the setup. I also offer [free guides / setup services if you want it done for you].
---
[Include disclaimer: This is for legitimate privacy/security purposes. Always check your employment contract.]</t>
  </si>
  <si>
    <t>TEMPLATE 2: Technical Problem-Solution (r/VPN)</t>
  </si>
  <si>
    <t>Title: Why Commercial VPNs Fail for Remote Work (And What Actually Works)
If you're trying to work abroad while connected to your employer's VPN, commercial VPN services usually won't cut it. Here's why:
**The Detection Problem**:
Your company's IT can see the IP address you're connecting from. Commercial VPNs use data center IPs that are:
1. In public databases as "VPN/proxy"
2. Shared by thousands of users
3. Flagged by security tools like Cisco Umbrella, Zscaler, etc.
**The Solution**: Residential IP via home VPN server
Instead of routing through NordVPN's data center, route through your actual home connection:
Home Setup:
- GL.iNet Flint 2 router running WireGuard server
- Connects to your home ISP (residential IP)
- Port forwarding through your modem
Travel Setup:  
- GL.iNet Beryl AX (fits in your bag)
- Pre-configured to connect to your home server
- All devices connect to this router via WiFi/Ethernet
- Kill switch drops connection if tunnel fails
**Why This Works**:
Your employer sees the same IP they'd see if you were at home. Because you ARE connecting through your home.
I've tested this with Fortune 500 companies including [telecom, retail, government] networks. Zero detection incidents.
Questions welcome. I also help people set this up if the technical side is overwhelming.</t>
  </si>
  <si>
    <t>TEMPLATE 3: AMA Format (r/digitalnomad)</t>
  </si>
  <si>
    <t>Title: I've helped 50+ remote workers set up home VPNs for international travel. AMA about staying connected abroad.
Background:
- 3+ years building VPN setups for digital nomads
- Tested across 50+ countries
- Clients include people working for Fortune 500 telecom, retail, and government agencies
- Zero detection incidents across all clients
What I can answer:
- Technical setup questions (GL.iNet routers, WireGuard, kill switches)
- What DOESN'T work (commercial VPNs, most "solutions" on YouTube)
- Speed expectations (realistic benchmarks)
- Risk assessment (what can actually be detected and how)
- Hardware recommendations for different budgets
What I won't help with:
- Anything illegal in your jurisdiction
- Bypassing actual security controls for malicious purposes
I'm not here to sell anything - just want to share what I've learned. Fire away!
[If someone asks about professional setup, mention you offer services but keep focus on free help]</t>
  </si>
  <si>
    <t>COMMENTING GUIDELINES (Build Karma First)</t>
  </si>
  <si>
    <t>RULE: 10 helpful comments for every 1 promotional post
Sample Helpful Comments:
1. When someone asks "How do I hide my location?":
"The key is using a residential IP, not a data center IP. Set up a WireGuard server at home (I use GL.iNet Flint 2) and connect to it via travel router. Your traffic exits through your home IP - identical to working from your couch."
2. When someone recommends NordVPN/ExpressVPN:
"Commercial VPNs use data center IPs that are in public databases. Most enterprise security tools (Cisco Umbrella, Zscaler) flag these automatically. Home VPN server with residential IP is the way to go."
3. When someone asks about hardware:
"GL.iNet Flint 2 for home ($130) + Beryl AX for travel ($110) is the sweet spot. Both support WireGuard natively. Just remember to enable kill switch on the travel router."
4. When someone shares their setup:
"Nice setup! One thing I'd add - make sure you're using WireGuard not OpenVPN. Much faster and harder to detect. Also enable the kill switch in case your tunnel drops."
NEVER: 
- Post links to your service unprompted
- Be pushy or salesy
- Argue with people who disagree
- Spam the same comment in multiple threads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</si>
</sst>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
    <numFmt numFmtId="166" formatCode="mmm\ dd&quot;, &quot;yyyy"/>
  </numFmts>
  <fonts count="11" x14ac:knownFonts="1">
    <font>
      <sz val="11"/>
      <color theme="1"/>
      <name val="Calibri"/>
      <family val="2"/>
      <charset val="1"/>
    </font>
    <font>
      <b/>
      <sz val="18"/>
      <color rgb="FF1E3A5F"/>
      <name val="Cambria"/>
      <charset val="1"/>
    </font>
    <font>
      <i/>
      <sz val="11"/>
      <color rgb="FF666666"/>
      <name val="Cambria"/>
      <charset val="1"/>
    </font>
    <font>
      <b/>
      <sz val="14"/>
      <name val="Cambria"/>
      <charset val="1"/>
    </font>
    <font>
      <b/>
      <sz val="12"/>
      <color rgb="FFFFFFFF"/>
      <name val="Cambria"/>
      <charset val="1"/>
    </font>
    <font>
      <sz val="11"/>
      <color rgb="FF0000FF"/>
      <name val="Cambria"/>
      <charset val="1"/>
    </font>
    <font>
      <b/>
      <sz val="11"/>
      <name val="Cambria"/>
      <charset val="1"/>
    </font>
    <font>
      <b/>
      <sz val="16"/>
      <color rgb="FF1E3A5F"/>
      <name val="Cambria"/>
      <charset val="1"/>
    </font>
    <font>
      <b/>
      <sz val="12"/>
      <color rgb="FF228B22"/>
      <name val="Cambria"/>
      <charset val="1"/>
    </font>
    <font>
      <b/>
      <sz val="12"/>
      <name val="Cambria"/>
      <charset val="1"/>
    </font>
    <font>
      <b/>
      <sz val="11"/>
      <color rgb="FFFFFFFF"/>
      <name val="Cambria"/>
      <charset val="1"/>
    </font>
  </fonts>
  <fills count="8">
    <fill>
      <patternFill patternType="none"/>
    </fill>
    <fill>
      <patternFill patternType="gray125"/>
    </fill>
    <fill>
      <patternFill patternType="solid">
        <fgColor rgb="FF1E3A5F"/>
        <bgColor rgb="FF333333"/>
      </patternFill>
    </fill>
    <fill>
      <patternFill patternType="solid">
        <fgColor rgb="FFFFF3CD"/>
        <bgColor rgb="FFF8F9FA"/>
      </patternFill>
    </fill>
    <fill>
      <patternFill patternType="solid">
        <fgColor rgb="FFD4EDDA"/>
        <bgColor rgb="FFCCFFCC"/>
      </patternFill>
    </fill>
    <fill>
      <patternFill patternType="solid">
        <fgColor rgb="FFF8F9FA"/>
        <bgColor rgb="FFFFFFFF"/>
      </patternFill>
    </fill>
    <fill>
      <patternFill patternType="solid">
        <fgColor rgb="FFFFCCCC"/>
        <bgColor rgb="FFFFF3CD"/>
      </patternFill>
    </fill>
    <fill>
      <patternFill patternType="solid">
        <fgColor rgb="FFCCFFCC"/>
        <bgColor rgb="FFD4EDDA"/>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7">
    <xf numFmtId="0" fontId="0" fillId="0" borderId="0" xfId="0"/>
    <xf numFmtId="0" fontId="7" fillId="0" borderId="0" xfId="0" applyFont="1"/>
    <xf numFmtId="0" fontId="3" fillId="0" borderId="0" xfId="0" applyFont="1"/>
    <xf numFmtId="0" fontId="1" fillId="0" borderId="0" xfId="0" applyFont="1"/>
    <xf numFmtId="0" fontId="2" fillId="0" borderId="0" xfId="0" applyFont="1"/>
    <xf numFmtId="0" fontId="3" fillId="0" borderId="0" xfId="0" applyFont="1"/>
    <xf numFmtId="0" fontId="4" fillId="2" borderId="1" xfId="0" applyFont="1" applyFill="1" applyBorder="1" applyAlignment="1">
      <alignment horizontal="center"/>
    </xf>
    <xf numFmtId="0" fontId="0" fillId="0" borderId="1" xfId="0" applyBorder="1"/>
    <xf numFmtId="0" fontId="0" fillId="3" borderId="1" xfId="0" applyFill="1" applyBorder="1"/>
    <xf numFmtId="0" fontId="5" fillId="4" borderId="1" xfId="0" applyFont="1" applyFill="1" applyBorder="1"/>
    <xf numFmtId="164" fontId="0" fillId="0" borderId="1" xfId="0" applyNumberFormat="1" applyBorder="1"/>
    <xf numFmtId="165" fontId="0" fillId="0" borderId="1" xfId="0" applyNumberFormat="1" applyBorder="1"/>
    <xf numFmtId="0" fontId="5" fillId="0" borderId="1" xfId="0" applyFont="1" applyBorder="1"/>
    <xf numFmtId="0" fontId="6" fillId="0" borderId="0" xfId="0" applyFont="1"/>
    <xf numFmtId="165" fontId="6" fillId="4" borderId="0" xfId="0" applyNumberFormat="1" applyFont="1" applyFill="1"/>
    <xf numFmtId="0" fontId="8" fillId="0" borderId="0" xfId="0" applyFont="1"/>
    <xf numFmtId="0" fontId="9" fillId="0" borderId="0" xfId="0" applyFont="1"/>
    <xf numFmtId="0" fontId="10" fillId="2" borderId="1" xfId="0" applyFont="1" applyFill="1" applyBorder="1"/>
    <xf numFmtId="0" fontId="0" fillId="5" borderId="1" xfId="0" applyFill="1" applyBorder="1"/>
    <xf numFmtId="0" fontId="0" fillId="6" borderId="1" xfId="0" applyFill="1" applyBorder="1"/>
    <xf numFmtId="0" fontId="0" fillId="7" borderId="1" xfId="0" applyFill="1" applyBorder="1"/>
    <xf numFmtId="166" fontId="0" fillId="0" borderId="1" xfId="0" applyNumberFormat="1" applyBorder="1"/>
    <xf numFmtId="0" fontId="4" fillId="2" borderId="1" xfId="0" applyFont="1" applyFill="1" applyBorder="1"/>
    <xf numFmtId="165" fontId="5" fillId="0" borderId="1" xfId="0" applyNumberFormat="1" applyFont="1" applyBorder="1"/>
    <xf numFmtId="165" fontId="6" fillId="0" borderId="0" xfId="0" applyNumberFormat="1" applyFont="1"/>
    <xf numFmtId="165"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228B22"/>
      <rgbColor rgb="FF000080"/>
      <rgbColor rgb="FF808000"/>
      <rgbColor rgb="FF800080"/>
      <rgbColor rgb="FF008080"/>
      <rgbColor rgb="FFC0C0C0"/>
      <rgbColor rgb="FF808080"/>
      <rgbColor rgb="FF9999FF"/>
      <rgbColor rgb="FF993366"/>
      <rgbColor rgb="FFFFF3CD"/>
      <rgbColor rgb="FFD4EDD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8F9FA"/>
      <rgbColor rgb="FFCCFFCC"/>
      <rgbColor rgb="FFFFFF99"/>
      <rgbColor rgb="FF99CCFF"/>
      <rgbColor rgb="FFFF99CC"/>
      <rgbColor rgb="FFCC99FF"/>
      <rgbColor rgb="FFFFCCCC"/>
      <rgbColor rgb="FF3366FF"/>
      <rgbColor rgb="FF33CCCC"/>
      <rgbColor rgb="FF99CC00"/>
      <rgbColor rgb="FFFFCC00"/>
      <rgbColor rgb="FFFF9900"/>
      <rgbColor rgb="FFFF6600"/>
      <rgbColor rgb="FF666666"/>
      <rgbColor rgb="FF969696"/>
      <rgbColor rgb="FF1E3A5F"/>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
  <sheetViews>
    <sheetView tabSelected="1" zoomScaleNormal="100" workbookViewId="0">
      <selection sqref="A1:G1"/>
    </sheetView>
  </sheetViews>
  <sheetFormatPr defaultColWidth="8.6640625" defaultRowHeight="14.4" x14ac:dyDescent="0.3"/>
  <cols>
    <col min="1" max="1" width="25" customWidth="1"/>
    <col min="2" max="4" width="15" customWidth="1"/>
  </cols>
  <sheetData>
    <row r="1" spans="1:7" ht="21.75" customHeight="1" x14ac:dyDescent="0.4">
      <c r="A1" s="3" t="s">
        <v>0</v>
      </c>
      <c r="B1" s="3"/>
      <c r="C1" s="3"/>
      <c r="D1" s="3"/>
      <c r="E1" s="3"/>
      <c r="F1" s="3"/>
      <c r="G1" s="3"/>
    </row>
    <row r="2" spans="1:7" ht="15" customHeight="1" x14ac:dyDescent="0.3">
      <c r="A2" s="4" t="s">
        <v>1</v>
      </c>
    </row>
    <row r="4" spans="1:7" ht="17.25" customHeight="1" x14ac:dyDescent="0.3">
      <c r="A4" s="2" t="s">
        <v>2</v>
      </c>
      <c r="B4" s="2"/>
      <c r="C4" s="2"/>
      <c r="D4" s="2"/>
    </row>
    <row r="5" spans="1:7" ht="15" customHeight="1" x14ac:dyDescent="0.3">
      <c r="A5" s="6" t="s">
        <v>3</v>
      </c>
      <c r="B5" s="6" t="s">
        <v>4</v>
      </c>
      <c r="C5" s="6" t="s">
        <v>5</v>
      </c>
      <c r="D5" s="6" t="s">
        <v>6</v>
      </c>
    </row>
    <row r="6" spans="1:7" ht="15" customHeight="1" x14ac:dyDescent="0.3">
      <c r="A6" s="7" t="s">
        <v>7</v>
      </c>
      <c r="B6" s="8">
        <v>500</v>
      </c>
      <c r="C6" s="9">
        <v>0</v>
      </c>
      <c r="D6" s="10">
        <f t="shared" ref="D6:D12" si="0">IF(C6&gt;0,C6/B6*100,0)</f>
        <v>0</v>
      </c>
    </row>
    <row r="7" spans="1:7" ht="15" customHeight="1" x14ac:dyDescent="0.3">
      <c r="A7" s="7" t="s">
        <v>8</v>
      </c>
      <c r="B7" s="8">
        <v>50</v>
      </c>
      <c r="C7" s="9">
        <v>0</v>
      </c>
      <c r="D7" s="10">
        <f t="shared" si="0"/>
        <v>0</v>
      </c>
    </row>
    <row r="8" spans="1:7" ht="15" customHeight="1" x14ac:dyDescent="0.3">
      <c r="A8" s="7" t="s">
        <v>9</v>
      </c>
      <c r="B8" s="8">
        <v>100</v>
      </c>
      <c r="C8" s="9">
        <v>0</v>
      </c>
      <c r="D8" s="10">
        <f t="shared" si="0"/>
        <v>0</v>
      </c>
    </row>
    <row r="9" spans="1:7" ht="15" customHeight="1" x14ac:dyDescent="0.3">
      <c r="A9" s="7" t="s">
        <v>10</v>
      </c>
      <c r="B9" s="8">
        <v>500</v>
      </c>
      <c r="C9" s="9">
        <v>0</v>
      </c>
      <c r="D9" s="10">
        <f t="shared" si="0"/>
        <v>0</v>
      </c>
    </row>
    <row r="10" spans="1:7" ht="15" customHeight="1" x14ac:dyDescent="0.3">
      <c r="A10" s="7" t="s">
        <v>11</v>
      </c>
      <c r="B10" s="8">
        <v>5</v>
      </c>
      <c r="C10" s="9">
        <v>0</v>
      </c>
      <c r="D10" s="10">
        <f t="shared" si="0"/>
        <v>0</v>
      </c>
    </row>
    <row r="11" spans="1:7" ht="15" customHeight="1" x14ac:dyDescent="0.3">
      <c r="A11" s="7" t="s">
        <v>12</v>
      </c>
      <c r="B11" s="8">
        <v>3</v>
      </c>
      <c r="C11" s="9">
        <v>0</v>
      </c>
      <c r="D11" s="10">
        <f t="shared" si="0"/>
        <v>0</v>
      </c>
    </row>
    <row r="12" spans="1:7" ht="15" customHeight="1" x14ac:dyDescent="0.3">
      <c r="A12" s="7" t="s">
        <v>13</v>
      </c>
      <c r="B12" s="8">
        <v>2100</v>
      </c>
      <c r="C12" s="9">
        <v>0</v>
      </c>
      <c r="D12" s="10">
        <f t="shared" si="0"/>
        <v>0</v>
      </c>
    </row>
    <row r="15" spans="1:7" ht="17.25" customHeight="1" x14ac:dyDescent="0.3">
      <c r="A15" s="5" t="s">
        <v>14</v>
      </c>
    </row>
    <row r="16" spans="1:7" ht="15" customHeight="1" x14ac:dyDescent="0.3">
      <c r="A16" s="6" t="s">
        <v>15</v>
      </c>
      <c r="B16" s="6" t="s">
        <v>16</v>
      </c>
      <c r="C16" s="6" t="s">
        <v>17</v>
      </c>
      <c r="D16" s="6" t="s">
        <v>18</v>
      </c>
    </row>
    <row r="17" spans="1:4" ht="15" customHeight="1" x14ac:dyDescent="0.3">
      <c r="A17" s="7" t="s">
        <v>19</v>
      </c>
      <c r="B17" s="11">
        <v>699</v>
      </c>
      <c r="C17" s="12">
        <v>0</v>
      </c>
      <c r="D17" s="11">
        <f>B17*C17</f>
        <v>0</v>
      </c>
    </row>
    <row r="18" spans="1:4" ht="15" customHeight="1" x14ac:dyDescent="0.3">
      <c r="A18" s="7" t="s">
        <v>20</v>
      </c>
      <c r="B18" s="11">
        <v>1299</v>
      </c>
      <c r="C18" s="12">
        <v>0</v>
      </c>
      <c r="D18" s="11">
        <f>B18*C18</f>
        <v>0</v>
      </c>
    </row>
    <row r="19" spans="1:4" ht="15" customHeight="1" x14ac:dyDescent="0.3">
      <c r="A19" s="7" t="s">
        <v>21</v>
      </c>
      <c r="B19" s="11">
        <v>50</v>
      </c>
      <c r="C19" s="12">
        <v>0</v>
      </c>
      <c r="D19" s="11">
        <f>B19*C19</f>
        <v>0</v>
      </c>
    </row>
    <row r="20" spans="1:4" ht="15" customHeight="1" x14ac:dyDescent="0.3">
      <c r="A20" s="13" t="s">
        <v>22</v>
      </c>
      <c r="D20" s="14">
        <f>SUM(D17:D19)</f>
        <v>0</v>
      </c>
    </row>
  </sheetData>
  <mergeCells count="2">
    <mergeCell ref="A1:G1"/>
    <mergeCell ref="A4:D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4"/>
  <sheetViews>
    <sheetView zoomScaleNormal="100" workbookViewId="0"/>
  </sheetViews>
  <sheetFormatPr defaultColWidth="8.6640625" defaultRowHeight="14.4" x14ac:dyDescent="0.3"/>
  <cols>
    <col min="1" max="1" width="45" customWidth="1"/>
    <col min="2" max="2" width="40" customWidth="1"/>
    <col min="3" max="3" width="25" customWidth="1"/>
    <col min="4" max="4" width="20" customWidth="1"/>
    <col min="5" max="5" width="35" customWidth="1"/>
  </cols>
  <sheetData>
    <row r="1" spans="1:6" ht="20.399999999999999" x14ac:dyDescent="0.35">
      <c r="A1" s="1" t="s">
        <v>23</v>
      </c>
      <c r="B1" s="1"/>
      <c r="C1" s="1"/>
      <c r="D1" s="1"/>
      <c r="E1" s="1"/>
      <c r="F1" s="1"/>
    </row>
    <row r="2" spans="1:6" ht="15.6" x14ac:dyDescent="0.3">
      <c r="A2" s="15" t="s">
        <v>24</v>
      </c>
    </row>
    <row r="4" spans="1:6" ht="15.6" x14ac:dyDescent="0.3">
      <c r="A4" s="16" t="s">
        <v>25</v>
      </c>
    </row>
    <row r="5" spans="1:6" x14ac:dyDescent="0.3">
      <c r="A5" s="17" t="s">
        <v>26</v>
      </c>
      <c r="B5" s="17" t="s">
        <v>27</v>
      </c>
      <c r="C5" s="17" t="s">
        <v>28</v>
      </c>
    </row>
    <row r="6" spans="1:6" x14ac:dyDescent="0.3">
      <c r="A6" s="18" t="s">
        <v>29</v>
      </c>
      <c r="B6" s="18" t="s">
        <v>30</v>
      </c>
      <c r="C6" s="18" t="s">
        <v>31</v>
      </c>
    </row>
    <row r="7" spans="1:6" x14ac:dyDescent="0.3">
      <c r="A7" s="7" t="s">
        <v>32</v>
      </c>
      <c r="B7" s="7" t="s">
        <v>30</v>
      </c>
      <c r="C7" s="7" t="s">
        <v>33</v>
      </c>
    </row>
    <row r="8" spans="1:6" x14ac:dyDescent="0.3">
      <c r="A8" s="18" t="s">
        <v>34</v>
      </c>
      <c r="B8" s="18" t="s">
        <v>35</v>
      </c>
      <c r="C8" s="18" t="s">
        <v>36</v>
      </c>
    </row>
    <row r="9" spans="1:6" x14ac:dyDescent="0.3">
      <c r="A9" s="7" t="s">
        <v>37</v>
      </c>
      <c r="B9" s="7" t="s">
        <v>38</v>
      </c>
      <c r="C9" s="7" t="s">
        <v>39</v>
      </c>
    </row>
    <row r="10" spans="1:6" x14ac:dyDescent="0.3">
      <c r="A10" s="18" t="s">
        <v>40</v>
      </c>
      <c r="B10" s="18" t="s">
        <v>35</v>
      </c>
      <c r="C10" s="18" t="s">
        <v>41</v>
      </c>
    </row>
    <row r="11" spans="1:6" x14ac:dyDescent="0.3">
      <c r="A11" s="7" t="s">
        <v>42</v>
      </c>
      <c r="B11" s="7" t="s">
        <v>35</v>
      </c>
      <c r="C11" s="7" t="s">
        <v>43</v>
      </c>
    </row>
    <row r="12" spans="1:6" x14ac:dyDescent="0.3">
      <c r="A12" s="18" t="s">
        <v>44</v>
      </c>
      <c r="B12" s="18" t="s">
        <v>45</v>
      </c>
      <c r="C12" s="18" t="s">
        <v>46</v>
      </c>
    </row>
    <row r="15" spans="1:6" ht="15.6" x14ac:dyDescent="0.3">
      <c r="A15" s="16" t="s">
        <v>47</v>
      </c>
    </row>
    <row r="16" spans="1:6" x14ac:dyDescent="0.3">
      <c r="A16" s="17" t="s">
        <v>48</v>
      </c>
      <c r="B16" s="17" t="s">
        <v>49</v>
      </c>
      <c r="C16" s="17" t="s">
        <v>50</v>
      </c>
      <c r="D16" s="17" t="s">
        <v>51</v>
      </c>
      <c r="E16" s="17" t="s">
        <v>52</v>
      </c>
    </row>
    <row r="17" spans="1:5" x14ac:dyDescent="0.3">
      <c r="A17" s="7" t="s">
        <v>53</v>
      </c>
      <c r="B17" s="7" t="s">
        <v>54</v>
      </c>
      <c r="C17" s="7" t="s">
        <v>55</v>
      </c>
      <c r="D17" s="7" t="s">
        <v>56</v>
      </c>
      <c r="E17" s="7" t="s">
        <v>57</v>
      </c>
    </row>
    <row r="18" spans="1:5" x14ac:dyDescent="0.3">
      <c r="A18" s="18" t="s">
        <v>58</v>
      </c>
      <c r="B18" s="18" t="s">
        <v>59</v>
      </c>
      <c r="C18" s="18" t="s">
        <v>60</v>
      </c>
      <c r="D18" s="18" t="s">
        <v>61</v>
      </c>
      <c r="E18" s="18" t="s">
        <v>62</v>
      </c>
    </row>
    <row r="19" spans="1:5" x14ac:dyDescent="0.3">
      <c r="A19" s="7" t="s">
        <v>63</v>
      </c>
      <c r="B19" s="7" t="s">
        <v>64</v>
      </c>
      <c r="C19" s="7" t="s">
        <v>65</v>
      </c>
      <c r="D19" s="7" t="s">
        <v>66</v>
      </c>
      <c r="E19" s="7" t="s">
        <v>67</v>
      </c>
    </row>
    <row r="20" spans="1:5" x14ac:dyDescent="0.3">
      <c r="A20" s="18" t="s">
        <v>68</v>
      </c>
      <c r="B20" s="18" t="s">
        <v>69</v>
      </c>
      <c r="C20" s="18" t="s">
        <v>70</v>
      </c>
      <c r="D20" s="18" t="s">
        <v>71</v>
      </c>
      <c r="E20" s="18" t="s">
        <v>72</v>
      </c>
    </row>
    <row r="23" spans="1:5" ht="15.6" x14ac:dyDescent="0.3">
      <c r="A23" s="16" t="s">
        <v>73</v>
      </c>
    </row>
    <row r="24" spans="1:5" x14ac:dyDescent="0.3">
      <c r="A24" s="17" t="s">
        <v>74</v>
      </c>
      <c r="B24" s="17" t="s">
        <v>75</v>
      </c>
      <c r="C24" s="17" t="s">
        <v>76</v>
      </c>
      <c r="D24" s="17" t="s">
        <v>77</v>
      </c>
      <c r="E24" s="17" t="s">
        <v>78</v>
      </c>
    </row>
    <row r="25" spans="1:5" x14ac:dyDescent="0.3">
      <c r="A25" s="7" t="s">
        <v>79</v>
      </c>
      <c r="B25" s="7" t="s">
        <v>80</v>
      </c>
      <c r="C25" s="7" t="s">
        <v>81</v>
      </c>
      <c r="D25" s="7" t="s">
        <v>82</v>
      </c>
      <c r="E25" s="7" t="s">
        <v>83</v>
      </c>
    </row>
    <row r="26" spans="1:5" x14ac:dyDescent="0.3">
      <c r="A26" s="18" t="s">
        <v>84</v>
      </c>
      <c r="B26" s="18" t="s">
        <v>80</v>
      </c>
      <c r="C26" s="18" t="s">
        <v>85</v>
      </c>
      <c r="D26" s="18" t="s">
        <v>86</v>
      </c>
      <c r="E26" s="18" t="s">
        <v>87</v>
      </c>
    </row>
    <row r="27" spans="1:5" x14ac:dyDescent="0.3">
      <c r="A27" s="7" t="s">
        <v>88</v>
      </c>
      <c r="B27" s="7" t="s">
        <v>89</v>
      </c>
      <c r="C27" s="7" t="s">
        <v>90</v>
      </c>
      <c r="D27" s="7" t="s">
        <v>91</v>
      </c>
      <c r="E27" s="7" t="s">
        <v>92</v>
      </c>
    </row>
    <row r="28" spans="1:5" x14ac:dyDescent="0.3">
      <c r="A28" s="18" t="s">
        <v>93</v>
      </c>
      <c r="B28" s="18" t="s">
        <v>94</v>
      </c>
      <c r="C28" s="18" t="s">
        <v>95</v>
      </c>
      <c r="D28" s="18" t="s">
        <v>96</v>
      </c>
      <c r="E28" s="18" t="s">
        <v>97</v>
      </c>
    </row>
    <row r="29" spans="1:5" x14ac:dyDescent="0.3">
      <c r="A29" s="7" t="s">
        <v>98</v>
      </c>
      <c r="B29" s="7" t="s">
        <v>94</v>
      </c>
      <c r="C29" s="7" t="s">
        <v>99</v>
      </c>
      <c r="D29" s="7" t="s">
        <v>100</v>
      </c>
      <c r="E29" s="7" t="s">
        <v>101</v>
      </c>
    </row>
    <row r="30" spans="1:5" x14ac:dyDescent="0.3">
      <c r="A30" s="18" t="s">
        <v>102</v>
      </c>
      <c r="B30" s="18" t="s">
        <v>89</v>
      </c>
      <c r="C30" s="18" t="s">
        <v>103</v>
      </c>
      <c r="D30" s="18" t="s">
        <v>104</v>
      </c>
      <c r="E30" s="18" t="s">
        <v>105</v>
      </c>
    </row>
    <row r="31" spans="1:5" x14ac:dyDescent="0.3">
      <c r="A31" s="7" t="s">
        <v>106</v>
      </c>
      <c r="B31" s="7" t="s">
        <v>80</v>
      </c>
      <c r="C31" s="7" t="s">
        <v>107</v>
      </c>
      <c r="D31" s="7" t="s">
        <v>108</v>
      </c>
      <c r="E31" s="7" t="s">
        <v>109</v>
      </c>
    </row>
    <row r="32" spans="1:5" x14ac:dyDescent="0.3">
      <c r="A32" s="18" t="s">
        <v>110</v>
      </c>
      <c r="B32" s="18" t="s">
        <v>94</v>
      </c>
      <c r="C32" s="18" t="s">
        <v>90</v>
      </c>
      <c r="D32" s="18" t="s">
        <v>111</v>
      </c>
      <c r="E32" s="18" t="s">
        <v>112</v>
      </c>
    </row>
    <row r="33" spans="1:5" x14ac:dyDescent="0.3">
      <c r="A33" s="7" t="s">
        <v>113</v>
      </c>
      <c r="B33" s="7" t="s">
        <v>94</v>
      </c>
      <c r="C33" s="7" t="s">
        <v>107</v>
      </c>
      <c r="D33" s="7" t="s">
        <v>114</v>
      </c>
      <c r="E33" s="7" t="s">
        <v>115</v>
      </c>
    </row>
    <row r="34" spans="1:5" x14ac:dyDescent="0.3">
      <c r="A34" s="18" t="s">
        <v>116</v>
      </c>
      <c r="B34" s="18" t="s">
        <v>117</v>
      </c>
      <c r="C34" s="18" t="s">
        <v>118</v>
      </c>
      <c r="D34" s="18" t="s">
        <v>119</v>
      </c>
      <c r="E34" s="18" t="s">
        <v>120</v>
      </c>
    </row>
    <row r="37" spans="1:5" ht="15.6" x14ac:dyDescent="0.3">
      <c r="A37" s="16" t="s">
        <v>121</v>
      </c>
    </row>
    <row r="38" spans="1:5" x14ac:dyDescent="0.3">
      <c r="A38" s="17" t="s">
        <v>122</v>
      </c>
      <c r="B38" s="17" t="s">
        <v>123</v>
      </c>
    </row>
    <row r="39" spans="1:5" x14ac:dyDescent="0.3">
      <c r="A39" s="7" t="s">
        <v>124</v>
      </c>
      <c r="B39" s="7" t="s">
        <v>125</v>
      </c>
    </row>
    <row r="40" spans="1:5" x14ac:dyDescent="0.3">
      <c r="A40" s="18" t="s">
        <v>126</v>
      </c>
      <c r="B40" s="18" t="s">
        <v>127</v>
      </c>
    </row>
    <row r="41" spans="1:5" x14ac:dyDescent="0.3">
      <c r="A41" s="7" t="s">
        <v>128</v>
      </c>
      <c r="B41" s="7" t="s">
        <v>129</v>
      </c>
    </row>
    <row r="42" spans="1:5" x14ac:dyDescent="0.3">
      <c r="A42" s="18" t="s">
        <v>130</v>
      </c>
      <c r="B42" s="18" t="s">
        <v>131</v>
      </c>
    </row>
    <row r="43" spans="1:5" x14ac:dyDescent="0.3">
      <c r="A43" s="7" t="s">
        <v>132</v>
      </c>
      <c r="B43" s="7" t="s">
        <v>133</v>
      </c>
    </row>
    <row r="44" spans="1:5" x14ac:dyDescent="0.3">
      <c r="A44" s="18" t="s">
        <v>134</v>
      </c>
      <c r="B44" s="18" t="s">
        <v>135</v>
      </c>
    </row>
    <row r="45" spans="1:5" x14ac:dyDescent="0.3">
      <c r="A45" s="7" t="s">
        <v>136</v>
      </c>
      <c r="B45" s="7" t="s">
        <v>137</v>
      </c>
    </row>
    <row r="46" spans="1:5" x14ac:dyDescent="0.3">
      <c r="A46" s="18" t="s">
        <v>138</v>
      </c>
      <c r="B46" s="18" t="s">
        <v>139</v>
      </c>
    </row>
    <row r="47" spans="1:5" x14ac:dyDescent="0.3">
      <c r="A47" s="7" t="s">
        <v>140</v>
      </c>
      <c r="B47" s="7" t="s">
        <v>141</v>
      </c>
    </row>
    <row r="48" spans="1:5" x14ac:dyDescent="0.3">
      <c r="A48" s="18" t="s">
        <v>142</v>
      </c>
      <c r="B48" s="18" t="s">
        <v>143</v>
      </c>
    </row>
    <row r="49" spans="1:4" x14ac:dyDescent="0.3">
      <c r="A49" s="7" t="s">
        <v>144</v>
      </c>
      <c r="B49" s="7" t="s">
        <v>145</v>
      </c>
    </row>
    <row r="50" spans="1:4" x14ac:dyDescent="0.3">
      <c r="A50" s="18" t="s">
        <v>146</v>
      </c>
      <c r="B50" s="18" t="s">
        <v>147</v>
      </c>
    </row>
    <row r="53" spans="1:4" ht="15.6" x14ac:dyDescent="0.3">
      <c r="A53" s="16" t="s">
        <v>148</v>
      </c>
    </row>
    <row r="54" spans="1:4" x14ac:dyDescent="0.3">
      <c r="A54" s="17" t="s">
        <v>149</v>
      </c>
      <c r="B54" s="17" t="s">
        <v>150</v>
      </c>
      <c r="C54" s="17" t="s">
        <v>151</v>
      </c>
      <c r="D54" s="17" t="s">
        <v>152</v>
      </c>
    </row>
    <row r="55" spans="1:4" x14ac:dyDescent="0.3">
      <c r="A55" s="7" t="s">
        <v>153</v>
      </c>
      <c r="B55" s="7" t="s">
        <v>154</v>
      </c>
      <c r="C55" s="7" t="s">
        <v>155</v>
      </c>
      <c r="D55" s="7" t="s">
        <v>156</v>
      </c>
    </row>
    <row r="56" spans="1:4" x14ac:dyDescent="0.3">
      <c r="A56" s="18" t="s">
        <v>153</v>
      </c>
      <c r="B56" s="18" t="s">
        <v>157</v>
      </c>
      <c r="C56" s="18" t="s">
        <v>155</v>
      </c>
      <c r="D56" s="18" t="s">
        <v>158</v>
      </c>
    </row>
    <row r="57" spans="1:4" x14ac:dyDescent="0.3">
      <c r="A57" s="7" t="s">
        <v>153</v>
      </c>
      <c r="B57" s="7" t="s">
        <v>159</v>
      </c>
      <c r="C57" s="7" t="s">
        <v>160</v>
      </c>
      <c r="D57" s="7" t="s">
        <v>161</v>
      </c>
    </row>
    <row r="58" spans="1:4" x14ac:dyDescent="0.3">
      <c r="A58" s="18" t="s">
        <v>162</v>
      </c>
      <c r="B58" s="18" t="s">
        <v>163</v>
      </c>
      <c r="C58" s="18" t="s">
        <v>164</v>
      </c>
      <c r="D58" s="18" t="s">
        <v>158</v>
      </c>
    </row>
    <row r="59" spans="1:4" x14ac:dyDescent="0.3">
      <c r="A59" s="7" t="s">
        <v>162</v>
      </c>
      <c r="B59" s="7" t="s">
        <v>165</v>
      </c>
      <c r="C59" s="7" t="s">
        <v>166</v>
      </c>
      <c r="D59" s="7" t="s">
        <v>156</v>
      </c>
    </row>
    <row r="60" spans="1:4" x14ac:dyDescent="0.3">
      <c r="A60" s="18" t="s">
        <v>162</v>
      </c>
      <c r="B60" s="18" t="s">
        <v>167</v>
      </c>
      <c r="C60" s="18" t="s">
        <v>168</v>
      </c>
      <c r="D60" s="18" t="s">
        <v>158</v>
      </c>
    </row>
    <row r="61" spans="1:4" x14ac:dyDescent="0.3">
      <c r="A61" s="7" t="s">
        <v>169</v>
      </c>
      <c r="B61" s="7" t="s">
        <v>170</v>
      </c>
      <c r="C61" s="7" t="s">
        <v>171</v>
      </c>
      <c r="D61" s="7" t="s">
        <v>158</v>
      </c>
    </row>
    <row r="62" spans="1:4" x14ac:dyDescent="0.3">
      <c r="A62" s="18" t="s">
        <v>172</v>
      </c>
      <c r="B62" s="18" t="s">
        <v>173</v>
      </c>
      <c r="C62" s="18" t="s">
        <v>174</v>
      </c>
      <c r="D62" s="18" t="s">
        <v>175</v>
      </c>
    </row>
    <row r="65" spans="1:3" ht="15.6" x14ac:dyDescent="0.3">
      <c r="A65" s="16" t="s">
        <v>176</v>
      </c>
    </row>
    <row r="66" spans="1:3" x14ac:dyDescent="0.3">
      <c r="A66" s="17" t="s">
        <v>149</v>
      </c>
      <c r="B66" s="17" t="s">
        <v>177</v>
      </c>
      <c r="C66" s="17" t="s">
        <v>178</v>
      </c>
    </row>
    <row r="67" spans="1:3" x14ac:dyDescent="0.3">
      <c r="A67" s="19" t="s">
        <v>179</v>
      </c>
      <c r="B67" s="19" t="s">
        <v>180</v>
      </c>
      <c r="C67" s="19" t="s">
        <v>181</v>
      </c>
    </row>
    <row r="68" spans="1:3" x14ac:dyDescent="0.3">
      <c r="A68" s="19" t="s">
        <v>179</v>
      </c>
      <c r="B68" s="19" t="s">
        <v>182</v>
      </c>
      <c r="C68" s="19" t="s">
        <v>183</v>
      </c>
    </row>
    <row r="69" spans="1:3" x14ac:dyDescent="0.3">
      <c r="A69" s="19" t="s">
        <v>179</v>
      </c>
      <c r="B69" s="19" t="s">
        <v>184</v>
      </c>
      <c r="C69" s="19" t="s">
        <v>185</v>
      </c>
    </row>
    <row r="70" spans="1:3" x14ac:dyDescent="0.3">
      <c r="A70" s="20" t="s">
        <v>186</v>
      </c>
      <c r="B70" s="20" t="s">
        <v>187</v>
      </c>
      <c r="C70" s="20" t="s">
        <v>188</v>
      </c>
    </row>
    <row r="71" spans="1:3" x14ac:dyDescent="0.3">
      <c r="A71" s="20" t="s">
        <v>186</v>
      </c>
      <c r="B71" s="20" t="s">
        <v>189</v>
      </c>
      <c r="C71" s="20" t="s">
        <v>190</v>
      </c>
    </row>
    <row r="72" spans="1:3" x14ac:dyDescent="0.3">
      <c r="A72" s="20" t="s">
        <v>186</v>
      </c>
      <c r="B72" s="20" t="s">
        <v>191</v>
      </c>
      <c r="C72" s="20" t="s">
        <v>192</v>
      </c>
    </row>
    <row r="73" spans="1:3" x14ac:dyDescent="0.3">
      <c r="A73" s="20" t="s">
        <v>186</v>
      </c>
      <c r="B73" s="20" t="s">
        <v>193</v>
      </c>
      <c r="C73" s="20" t="s">
        <v>194</v>
      </c>
    </row>
    <row r="74" spans="1:3" x14ac:dyDescent="0.3">
      <c r="A74" s="20" t="s">
        <v>186</v>
      </c>
      <c r="B74" s="20" t="s">
        <v>195</v>
      </c>
      <c r="C74" s="20" t="s">
        <v>196</v>
      </c>
    </row>
  </sheetData>
  <mergeCells count="1">
    <mergeCell ref="A1:F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7"/>
  <sheetViews>
    <sheetView zoomScaleNormal="100" workbookViewId="0"/>
  </sheetViews>
  <sheetFormatPr defaultColWidth="8.6640625" defaultRowHeight="14.4" x14ac:dyDescent="0.3"/>
  <cols>
    <col min="1" max="1" width="12" customWidth="1"/>
    <col min="2" max="2" width="18" customWidth="1"/>
    <col min="3" max="3" width="40" customWidth="1"/>
    <col min="4" max="5" width="15" customWidth="1"/>
    <col min="6" max="6" width="45" customWidth="1"/>
  </cols>
  <sheetData>
    <row r="1" spans="1:6" ht="19.5" customHeight="1" x14ac:dyDescent="0.35">
      <c r="A1" s="1" t="s">
        <v>197</v>
      </c>
      <c r="B1" s="1"/>
      <c r="C1" s="1"/>
      <c r="D1" s="1"/>
      <c r="E1" s="1"/>
      <c r="F1" s="1"/>
    </row>
    <row r="3" spans="1:6" ht="15" customHeight="1" x14ac:dyDescent="0.3">
      <c r="A3" s="6" t="s">
        <v>198</v>
      </c>
      <c r="B3" s="6" t="s">
        <v>199</v>
      </c>
      <c r="C3" s="6" t="s">
        <v>200</v>
      </c>
      <c r="D3" s="6" t="s">
        <v>201</v>
      </c>
      <c r="E3" s="6" t="s">
        <v>202</v>
      </c>
      <c r="F3" s="6" t="s">
        <v>203</v>
      </c>
    </row>
    <row r="4" spans="1:6" ht="15" customHeight="1" x14ac:dyDescent="0.3">
      <c r="A4" s="7" t="s">
        <v>204</v>
      </c>
      <c r="B4" s="7" t="s">
        <v>205</v>
      </c>
      <c r="C4" s="7" t="s">
        <v>206</v>
      </c>
      <c r="D4" s="21">
        <v>46015.081026574102</v>
      </c>
      <c r="E4" s="12" t="s">
        <v>207</v>
      </c>
      <c r="F4" s="7" t="s">
        <v>208</v>
      </c>
    </row>
    <row r="5" spans="1:6" ht="15" customHeight="1" x14ac:dyDescent="0.3">
      <c r="A5" s="7" t="s">
        <v>204</v>
      </c>
      <c r="B5" s="7" t="s">
        <v>205</v>
      </c>
      <c r="C5" s="7" t="s">
        <v>209</v>
      </c>
      <c r="D5" s="21">
        <v>46015.081026574102</v>
      </c>
      <c r="E5" s="12" t="s">
        <v>207</v>
      </c>
      <c r="F5" s="7" t="s">
        <v>210</v>
      </c>
    </row>
    <row r="6" spans="1:6" ht="15" customHeight="1" x14ac:dyDescent="0.3">
      <c r="A6" s="7" t="s">
        <v>204</v>
      </c>
      <c r="B6" s="7" t="s">
        <v>205</v>
      </c>
      <c r="C6" s="7" t="s">
        <v>211</v>
      </c>
      <c r="D6" s="21">
        <v>46015.081026574102</v>
      </c>
      <c r="E6" s="12" t="s">
        <v>207</v>
      </c>
      <c r="F6" s="7" t="s">
        <v>212</v>
      </c>
    </row>
    <row r="7" spans="1:6" ht="15" customHeight="1" x14ac:dyDescent="0.3">
      <c r="A7" s="7" t="s">
        <v>204</v>
      </c>
      <c r="B7" s="7" t="s">
        <v>205</v>
      </c>
      <c r="C7" s="7" t="s">
        <v>213</v>
      </c>
      <c r="D7" s="21">
        <v>46021.081026574102</v>
      </c>
      <c r="E7" s="12" t="s">
        <v>207</v>
      </c>
      <c r="F7" s="7" t="s">
        <v>214</v>
      </c>
    </row>
    <row r="8" spans="1:6" ht="15" customHeight="1" x14ac:dyDescent="0.3">
      <c r="A8" s="7" t="s">
        <v>204</v>
      </c>
      <c r="B8" s="7" t="s">
        <v>205</v>
      </c>
      <c r="C8" s="7" t="s">
        <v>215</v>
      </c>
      <c r="D8" s="21">
        <v>46019.081026574102</v>
      </c>
      <c r="E8" s="12" t="s">
        <v>207</v>
      </c>
      <c r="F8" s="7" t="s">
        <v>216</v>
      </c>
    </row>
    <row r="9" spans="1:6" ht="15" customHeight="1" x14ac:dyDescent="0.3">
      <c r="A9" s="7" t="s">
        <v>158</v>
      </c>
      <c r="B9" s="7" t="s">
        <v>205</v>
      </c>
      <c r="C9" s="7" t="s">
        <v>217</v>
      </c>
      <c r="D9" s="21">
        <v>46024.081026574102</v>
      </c>
      <c r="E9" s="12" t="s">
        <v>207</v>
      </c>
      <c r="F9" s="7" t="s">
        <v>218</v>
      </c>
    </row>
    <row r="10" spans="1:6" ht="15" customHeight="1" x14ac:dyDescent="0.3">
      <c r="A10" s="7" t="s">
        <v>158</v>
      </c>
      <c r="B10" s="7" t="s">
        <v>205</v>
      </c>
      <c r="C10" s="7" t="s">
        <v>219</v>
      </c>
      <c r="D10" s="21">
        <v>46022.081026574102</v>
      </c>
      <c r="E10" s="12" t="s">
        <v>207</v>
      </c>
      <c r="F10" s="7" t="s">
        <v>220</v>
      </c>
    </row>
    <row r="11" spans="1:6" ht="15" customHeight="1" x14ac:dyDescent="0.3">
      <c r="A11" s="7" t="s">
        <v>158</v>
      </c>
      <c r="B11" s="7" t="s">
        <v>205</v>
      </c>
      <c r="C11" s="7" t="s">
        <v>221</v>
      </c>
      <c r="D11" s="21">
        <v>46028.081026574102</v>
      </c>
      <c r="E11" s="12" t="s">
        <v>207</v>
      </c>
      <c r="F11" s="7" t="s">
        <v>222</v>
      </c>
    </row>
    <row r="12" spans="1:6" ht="15" customHeight="1" x14ac:dyDescent="0.3">
      <c r="A12" s="7" t="s">
        <v>156</v>
      </c>
      <c r="B12" s="7" t="s">
        <v>223</v>
      </c>
      <c r="C12" s="7" t="s">
        <v>224</v>
      </c>
      <c r="D12" s="21">
        <v>46029.081026574102</v>
      </c>
      <c r="E12" s="12" t="s">
        <v>207</v>
      </c>
      <c r="F12" s="7" t="s">
        <v>225</v>
      </c>
    </row>
    <row r="13" spans="1:6" ht="15" customHeight="1" x14ac:dyDescent="0.3">
      <c r="A13" s="7" t="s">
        <v>156</v>
      </c>
      <c r="B13" s="7" t="s">
        <v>223</v>
      </c>
      <c r="C13" s="7" t="s">
        <v>226</v>
      </c>
      <c r="D13" s="21">
        <v>46035.081026574102</v>
      </c>
      <c r="E13" s="12" t="s">
        <v>207</v>
      </c>
      <c r="F13" s="7" t="s">
        <v>227</v>
      </c>
    </row>
    <row r="14" spans="1:6" ht="15" customHeight="1" x14ac:dyDescent="0.3">
      <c r="A14" s="7" t="s">
        <v>156</v>
      </c>
      <c r="B14" s="7" t="s">
        <v>223</v>
      </c>
      <c r="C14" s="7" t="s">
        <v>228</v>
      </c>
      <c r="D14" s="21">
        <v>46035.081026574102</v>
      </c>
      <c r="E14" s="12" t="s">
        <v>207</v>
      </c>
      <c r="F14" s="7" t="s">
        <v>229</v>
      </c>
    </row>
    <row r="15" spans="1:6" ht="15" customHeight="1" x14ac:dyDescent="0.3">
      <c r="A15" s="7" t="s">
        <v>161</v>
      </c>
      <c r="B15" s="7" t="s">
        <v>223</v>
      </c>
      <c r="C15" s="7" t="s">
        <v>230</v>
      </c>
      <c r="D15" s="21">
        <v>46042.081026574102</v>
      </c>
      <c r="E15" s="12" t="s">
        <v>207</v>
      </c>
      <c r="F15" s="7" t="s">
        <v>231</v>
      </c>
    </row>
    <row r="16" spans="1:6" ht="15" customHeight="1" x14ac:dyDescent="0.3">
      <c r="A16" s="7" t="s">
        <v>161</v>
      </c>
      <c r="B16" s="7" t="s">
        <v>223</v>
      </c>
      <c r="C16" s="7" t="s">
        <v>232</v>
      </c>
      <c r="D16" s="21">
        <v>46042.081026574102</v>
      </c>
      <c r="E16" s="12" t="s">
        <v>207</v>
      </c>
      <c r="F16" s="7" t="s">
        <v>233</v>
      </c>
    </row>
    <row r="17" spans="1:6" ht="15" customHeight="1" x14ac:dyDescent="0.3">
      <c r="A17" s="7" t="s">
        <v>175</v>
      </c>
      <c r="B17" s="7" t="s">
        <v>234</v>
      </c>
      <c r="C17" s="7" t="s">
        <v>235</v>
      </c>
      <c r="D17" s="21">
        <v>46049.081026574102</v>
      </c>
      <c r="E17" s="12" t="s">
        <v>207</v>
      </c>
      <c r="F17" s="7" t="s">
        <v>236</v>
      </c>
    </row>
    <row r="18" spans="1:6" ht="15" customHeight="1" x14ac:dyDescent="0.3">
      <c r="A18" s="7" t="s">
        <v>237</v>
      </c>
      <c r="B18" s="7" t="s">
        <v>234</v>
      </c>
      <c r="C18" s="7" t="s">
        <v>238</v>
      </c>
      <c r="D18" s="21">
        <v>46056.081026574102</v>
      </c>
      <c r="E18" s="12" t="s">
        <v>207</v>
      </c>
      <c r="F18" s="7" t="s">
        <v>239</v>
      </c>
    </row>
    <row r="19" spans="1:6" ht="15" customHeight="1" x14ac:dyDescent="0.3">
      <c r="A19" s="7" t="s">
        <v>237</v>
      </c>
      <c r="B19" s="7" t="s">
        <v>234</v>
      </c>
      <c r="C19" s="7" t="s">
        <v>240</v>
      </c>
      <c r="D19" s="21">
        <v>46056.081026574102</v>
      </c>
      <c r="E19" s="12" t="s">
        <v>207</v>
      </c>
      <c r="F19" s="7" t="s">
        <v>241</v>
      </c>
    </row>
    <row r="20" spans="1:6" ht="15" customHeight="1" x14ac:dyDescent="0.3">
      <c r="A20" s="7" t="s">
        <v>242</v>
      </c>
      <c r="B20" s="7" t="s">
        <v>234</v>
      </c>
      <c r="C20" s="7" t="s">
        <v>243</v>
      </c>
      <c r="D20" s="21">
        <v>46063.081026574102</v>
      </c>
      <c r="E20" s="12" t="s">
        <v>207</v>
      </c>
      <c r="F20" s="7" t="s">
        <v>244</v>
      </c>
    </row>
    <row r="21" spans="1:6" ht="15" customHeight="1" x14ac:dyDescent="0.3">
      <c r="A21" s="7" t="s">
        <v>245</v>
      </c>
      <c r="B21" s="7" t="s">
        <v>234</v>
      </c>
      <c r="C21" s="7" t="s">
        <v>246</v>
      </c>
      <c r="D21" s="21">
        <v>46070.081026574102</v>
      </c>
      <c r="E21" s="12" t="s">
        <v>207</v>
      </c>
      <c r="F21" s="7" t="s">
        <v>247</v>
      </c>
    </row>
    <row r="22" spans="1:6" ht="15" customHeight="1" x14ac:dyDescent="0.3">
      <c r="A22" s="7" t="s">
        <v>245</v>
      </c>
      <c r="B22" s="7" t="s">
        <v>234</v>
      </c>
      <c r="C22" s="7" t="s">
        <v>248</v>
      </c>
      <c r="D22" s="21">
        <v>46070.081026574102</v>
      </c>
      <c r="E22" s="12" t="s">
        <v>207</v>
      </c>
      <c r="F22" s="7" t="s">
        <v>249</v>
      </c>
    </row>
    <row r="23" spans="1:6" ht="15" customHeight="1" x14ac:dyDescent="0.3">
      <c r="A23" s="7" t="s">
        <v>250</v>
      </c>
      <c r="B23" s="7" t="s">
        <v>251</v>
      </c>
      <c r="C23" s="7" t="s">
        <v>252</v>
      </c>
      <c r="D23" s="21">
        <v>46077.081026574102</v>
      </c>
      <c r="E23" s="12" t="s">
        <v>207</v>
      </c>
      <c r="F23" s="7" t="s">
        <v>253</v>
      </c>
    </row>
    <row r="24" spans="1:6" ht="15" customHeight="1" x14ac:dyDescent="0.3">
      <c r="A24" s="7" t="s">
        <v>254</v>
      </c>
      <c r="B24" s="7" t="s">
        <v>251</v>
      </c>
      <c r="C24" s="7" t="s">
        <v>255</v>
      </c>
      <c r="D24" s="21">
        <v>46084.081026574102</v>
      </c>
      <c r="E24" s="12" t="s">
        <v>207</v>
      </c>
      <c r="F24" s="7" t="s">
        <v>256</v>
      </c>
    </row>
    <row r="25" spans="1:6" ht="15" customHeight="1" x14ac:dyDescent="0.3">
      <c r="A25" s="7" t="s">
        <v>257</v>
      </c>
      <c r="B25" s="7" t="s">
        <v>251</v>
      </c>
      <c r="C25" s="7" t="s">
        <v>258</v>
      </c>
      <c r="D25" s="21">
        <v>46091.081026574102</v>
      </c>
      <c r="E25" s="12" t="s">
        <v>207</v>
      </c>
      <c r="F25" s="7" t="s">
        <v>259</v>
      </c>
    </row>
    <row r="26" spans="1:6" ht="15" customHeight="1" x14ac:dyDescent="0.3">
      <c r="A26" s="7" t="s">
        <v>260</v>
      </c>
      <c r="B26" s="7" t="s">
        <v>251</v>
      </c>
      <c r="C26" s="7" t="s">
        <v>261</v>
      </c>
      <c r="D26" s="21">
        <v>46098.081026574102</v>
      </c>
      <c r="E26" s="12" t="s">
        <v>207</v>
      </c>
      <c r="F26" s="7" t="s">
        <v>262</v>
      </c>
    </row>
    <row r="27" spans="1:6" ht="15" customHeight="1" x14ac:dyDescent="0.3">
      <c r="A27" s="7" t="s">
        <v>260</v>
      </c>
      <c r="B27" s="7" t="s">
        <v>251</v>
      </c>
      <c r="C27" s="7" t="s">
        <v>263</v>
      </c>
      <c r="D27" s="21">
        <v>46104.081026574102</v>
      </c>
      <c r="E27" s="12" t="s">
        <v>207</v>
      </c>
      <c r="F27" s="7" t="s">
        <v>264</v>
      </c>
    </row>
  </sheetData>
  <mergeCells count="1">
    <mergeCell ref="A1:F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5"/>
  <sheetViews>
    <sheetView zoomScaleNormal="100" workbookViewId="0"/>
  </sheetViews>
  <sheetFormatPr defaultColWidth="8.6640625" defaultRowHeight="14.4" x14ac:dyDescent="0.3"/>
  <cols>
    <col min="1" max="8" width="18" customWidth="1"/>
  </cols>
  <sheetData>
    <row r="1" spans="1:8" ht="19.5" customHeight="1" x14ac:dyDescent="0.35">
      <c r="A1" s="1" t="s">
        <v>265</v>
      </c>
      <c r="B1" s="1"/>
      <c r="C1" s="1"/>
      <c r="D1" s="1"/>
      <c r="E1" s="1"/>
      <c r="F1" s="1"/>
      <c r="G1" s="1"/>
      <c r="H1" s="1"/>
    </row>
    <row r="3" spans="1:8" ht="15" customHeight="1" x14ac:dyDescent="0.3">
      <c r="A3" s="16" t="s">
        <v>266</v>
      </c>
    </row>
    <row r="4" spans="1:8" ht="15" customHeight="1" x14ac:dyDescent="0.3">
      <c r="A4" s="6" t="s">
        <v>267</v>
      </c>
      <c r="B4" s="6" t="s">
        <v>268</v>
      </c>
      <c r="C4" s="6" t="s">
        <v>152</v>
      </c>
      <c r="D4" s="6" t="s">
        <v>269</v>
      </c>
      <c r="E4" s="6" t="s">
        <v>270</v>
      </c>
      <c r="F4" s="6" t="s">
        <v>271</v>
      </c>
      <c r="G4" s="6" t="s">
        <v>272</v>
      </c>
      <c r="H4" s="6" t="s">
        <v>203</v>
      </c>
    </row>
    <row r="5" spans="1:8" ht="15" customHeight="1" x14ac:dyDescent="0.3">
      <c r="A5" s="7" t="s">
        <v>94</v>
      </c>
      <c r="B5" s="7" t="s">
        <v>273</v>
      </c>
      <c r="C5" s="7" t="s">
        <v>274</v>
      </c>
      <c r="D5" s="12">
        <v>0</v>
      </c>
      <c r="E5" s="12">
        <v>0</v>
      </c>
      <c r="F5" s="12">
        <v>0</v>
      </c>
      <c r="G5" s="12">
        <v>0</v>
      </c>
      <c r="H5" s="7" t="s">
        <v>275</v>
      </c>
    </row>
    <row r="6" spans="1:8" ht="15" customHeight="1" x14ac:dyDescent="0.3">
      <c r="A6" s="7" t="s">
        <v>276</v>
      </c>
      <c r="B6" s="7" t="s">
        <v>277</v>
      </c>
      <c r="C6" s="7" t="s">
        <v>278</v>
      </c>
      <c r="D6" s="12">
        <v>0</v>
      </c>
      <c r="E6" s="12">
        <v>0</v>
      </c>
      <c r="F6" s="12">
        <v>0</v>
      </c>
      <c r="G6" s="12">
        <v>0</v>
      </c>
      <c r="H6" s="7" t="s">
        <v>279</v>
      </c>
    </row>
    <row r="7" spans="1:8" ht="15" customHeight="1" x14ac:dyDescent="0.3">
      <c r="A7" s="7" t="s">
        <v>80</v>
      </c>
      <c r="B7" s="7" t="s">
        <v>280</v>
      </c>
      <c r="C7" s="7" t="s">
        <v>274</v>
      </c>
      <c r="D7" s="12">
        <v>0</v>
      </c>
      <c r="E7" s="12">
        <v>0</v>
      </c>
      <c r="F7" s="12">
        <v>0</v>
      </c>
      <c r="G7" s="12">
        <v>0</v>
      </c>
      <c r="H7" s="7" t="s">
        <v>281</v>
      </c>
    </row>
    <row r="8" spans="1:8" ht="15" customHeight="1" x14ac:dyDescent="0.3">
      <c r="A8" s="7" t="s">
        <v>89</v>
      </c>
      <c r="B8" s="7" t="s">
        <v>282</v>
      </c>
      <c r="C8" s="7" t="s">
        <v>274</v>
      </c>
      <c r="D8" s="12">
        <v>0</v>
      </c>
      <c r="E8" s="12">
        <v>0</v>
      </c>
      <c r="F8" s="12">
        <v>0</v>
      </c>
      <c r="G8" s="12">
        <v>0</v>
      </c>
      <c r="H8" s="7" t="s">
        <v>283</v>
      </c>
    </row>
    <row r="9" spans="1:8" ht="15" customHeight="1" x14ac:dyDescent="0.3">
      <c r="A9" s="7" t="s">
        <v>284</v>
      </c>
      <c r="B9" s="7" t="s">
        <v>285</v>
      </c>
      <c r="C9" s="7" t="s">
        <v>286</v>
      </c>
      <c r="D9" s="12">
        <v>0</v>
      </c>
      <c r="E9" s="12">
        <v>0</v>
      </c>
      <c r="F9" s="12">
        <v>0</v>
      </c>
      <c r="G9" s="12">
        <v>0</v>
      </c>
      <c r="H9" s="7" t="s">
        <v>287</v>
      </c>
    </row>
    <row r="10" spans="1:8" ht="15" customHeight="1" x14ac:dyDescent="0.3">
      <c r="A10" s="7" t="s">
        <v>288</v>
      </c>
      <c r="B10" s="7" t="s">
        <v>289</v>
      </c>
      <c r="C10" s="7" t="s">
        <v>286</v>
      </c>
      <c r="D10" s="12">
        <v>0</v>
      </c>
      <c r="E10" s="12">
        <v>0</v>
      </c>
      <c r="F10" s="12">
        <v>0</v>
      </c>
      <c r="G10" s="12">
        <v>0</v>
      </c>
      <c r="H10" s="7" t="s">
        <v>290</v>
      </c>
    </row>
    <row r="11" spans="1:8" ht="15" customHeight="1" x14ac:dyDescent="0.3">
      <c r="A11" s="13" t="s">
        <v>291</v>
      </c>
      <c r="D11">
        <f>SUM(D5:D10)</f>
        <v>0</v>
      </c>
      <c r="E11">
        <f>SUM(E5:E10)</f>
        <v>0</v>
      </c>
      <c r="F11">
        <f>SUM(F5:F10)</f>
        <v>0</v>
      </c>
      <c r="G11">
        <f>SUM(G5:G10)</f>
        <v>0</v>
      </c>
    </row>
    <row r="14" spans="1:8" ht="15" customHeight="1" x14ac:dyDescent="0.3">
      <c r="A14" s="16" t="s">
        <v>292</v>
      </c>
    </row>
    <row r="15" spans="1:8" ht="15" customHeight="1" x14ac:dyDescent="0.3">
      <c r="A15" s="22" t="s">
        <v>76</v>
      </c>
      <c r="B15" s="22" t="s">
        <v>267</v>
      </c>
      <c r="C15" s="22" t="s">
        <v>293</v>
      </c>
      <c r="D15" s="22" t="s">
        <v>149</v>
      </c>
      <c r="E15" s="22" t="s">
        <v>294</v>
      </c>
      <c r="F15" s="22" t="s">
        <v>295</v>
      </c>
      <c r="G15" s="22" t="s">
        <v>296</v>
      </c>
      <c r="H15" s="22" t="s">
        <v>297</v>
      </c>
    </row>
    <row r="16" spans="1:8" ht="15" customHeight="1" x14ac:dyDescent="0.3">
      <c r="A16" s="12"/>
      <c r="B16" s="12"/>
      <c r="C16" s="12"/>
      <c r="D16" s="12"/>
      <c r="E16" s="12"/>
      <c r="F16" s="12"/>
      <c r="G16" s="12"/>
      <c r="H16" s="12"/>
    </row>
    <row r="17" spans="1:8" ht="15" customHeight="1" x14ac:dyDescent="0.3">
      <c r="A17" s="12"/>
      <c r="B17" s="12"/>
      <c r="C17" s="12"/>
      <c r="D17" s="12"/>
      <c r="E17" s="12"/>
      <c r="F17" s="12"/>
      <c r="G17" s="12"/>
      <c r="H17" s="12"/>
    </row>
    <row r="18" spans="1:8" ht="15" customHeight="1" x14ac:dyDescent="0.3">
      <c r="A18" s="12"/>
      <c r="B18" s="12"/>
      <c r="C18" s="12"/>
      <c r="D18" s="12"/>
      <c r="E18" s="12"/>
      <c r="F18" s="12"/>
      <c r="G18" s="12"/>
      <c r="H18" s="12"/>
    </row>
    <row r="19" spans="1:8" ht="15" customHeight="1" x14ac:dyDescent="0.3">
      <c r="A19" s="12"/>
      <c r="B19" s="12"/>
      <c r="C19" s="12"/>
      <c r="D19" s="12"/>
      <c r="E19" s="12"/>
      <c r="F19" s="12"/>
      <c r="G19" s="12"/>
      <c r="H19" s="12"/>
    </row>
    <row r="20" spans="1:8" ht="15" customHeight="1" x14ac:dyDescent="0.3">
      <c r="A20" s="12"/>
      <c r="B20" s="12"/>
      <c r="C20" s="12"/>
      <c r="D20" s="12"/>
      <c r="E20" s="12"/>
      <c r="F20" s="12"/>
      <c r="G20" s="12"/>
      <c r="H20" s="12"/>
    </row>
    <row r="21" spans="1:8" ht="15" customHeight="1" x14ac:dyDescent="0.3">
      <c r="A21" s="12"/>
      <c r="B21" s="12"/>
      <c r="C21" s="12"/>
      <c r="D21" s="12"/>
      <c r="E21" s="12"/>
      <c r="F21" s="12"/>
      <c r="G21" s="12"/>
      <c r="H21" s="12"/>
    </row>
    <row r="22" spans="1:8" ht="15" customHeight="1" x14ac:dyDescent="0.3">
      <c r="A22" s="12"/>
      <c r="B22" s="12"/>
      <c r="C22" s="12"/>
      <c r="D22" s="12"/>
      <c r="E22" s="12"/>
      <c r="F22" s="12"/>
      <c r="G22" s="12"/>
      <c r="H22" s="12"/>
    </row>
    <row r="23" spans="1:8" ht="15" customHeight="1" x14ac:dyDescent="0.3">
      <c r="A23" s="12"/>
      <c r="B23" s="12"/>
      <c r="C23" s="12"/>
      <c r="D23" s="12"/>
      <c r="E23" s="12"/>
      <c r="F23" s="12"/>
      <c r="G23" s="12"/>
      <c r="H23" s="12"/>
    </row>
    <row r="24" spans="1:8" ht="15" customHeight="1" x14ac:dyDescent="0.3">
      <c r="A24" s="12"/>
      <c r="B24" s="12"/>
      <c r="C24" s="12"/>
      <c r="D24" s="12"/>
      <c r="E24" s="12"/>
      <c r="F24" s="12"/>
      <c r="G24" s="12"/>
      <c r="H24" s="12"/>
    </row>
    <row r="25" spans="1:8" ht="15" customHeight="1" x14ac:dyDescent="0.3">
      <c r="A25" s="12"/>
      <c r="B25" s="12"/>
      <c r="C25" s="12"/>
      <c r="D25" s="12"/>
      <c r="E25" s="12"/>
      <c r="F25" s="12"/>
      <c r="G25" s="12"/>
      <c r="H25" s="12"/>
    </row>
  </sheetData>
  <mergeCells count="1">
    <mergeCell ref="A1:H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7"/>
  <sheetViews>
    <sheetView zoomScaleNormal="100" workbookViewId="0"/>
  </sheetViews>
  <sheetFormatPr defaultColWidth="8.6640625" defaultRowHeight="14.4" x14ac:dyDescent="0.3"/>
  <cols>
    <col min="1" max="2" width="40" customWidth="1"/>
    <col min="3" max="9" width="15" customWidth="1"/>
  </cols>
  <sheetData>
    <row r="1" spans="1:9" ht="19.5" customHeight="1" x14ac:dyDescent="0.35">
      <c r="A1" s="1" t="s">
        <v>298</v>
      </c>
      <c r="B1" s="1"/>
      <c r="C1" s="1"/>
      <c r="D1" s="1"/>
      <c r="E1" s="1"/>
      <c r="F1" s="1"/>
      <c r="G1" s="1"/>
      <c r="H1" s="1"/>
      <c r="I1" s="1"/>
    </row>
    <row r="3" spans="1:9" ht="15" customHeight="1" x14ac:dyDescent="0.3">
      <c r="A3" s="16" t="s">
        <v>299</v>
      </c>
    </row>
    <row r="4" spans="1:9" ht="15" customHeight="1" x14ac:dyDescent="0.3">
      <c r="A4" s="6" t="s">
        <v>300</v>
      </c>
      <c r="B4" s="6" t="s">
        <v>301</v>
      </c>
      <c r="C4" s="6" t="s">
        <v>202</v>
      </c>
      <c r="D4" s="6" t="s">
        <v>302</v>
      </c>
      <c r="E4" s="6" t="s">
        <v>303</v>
      </c>
      <c r="F4" s="6" t="s">
        <v>304</v>
      </c>
      <c r="G4" s="6" t="s">
        <v>295</v>
      </c>
      <c r="H4" s="6" t="s">
        <v>305</v>
      </c>
      <c r="I4" s="6" t="s">
        <v>296</v>
      </c>
    </row>
    <row r="5" spans="1:9" ht="15" customHeight="1" x14ac:dyDescent="0.3">
      <c r="A5" s="7" t="s">
        <v>222</v>
      </c>
      <c r="B5" s="7" t="s">
        <v>306</v>
      </c>
      <c r="C5" s="7" t="s">
        <v>207</v>
      </c>
      <c r="D5" s="7"/>
      <c r="E5" s="12">
        <v>0</v>
      </c>
      <c r="F5" s="12">
        <v>0</v>
      </c>
      <c r="G5" s="12">
        <v>0</v>
      </c>
      <c r="H5" s="12">
        <v>0</v>
      </c>
      <c r="I5" s="12">
        <v>0</v>
      </c>
    </row>
    <row r="6" spans="1:9" ht="15" customHeight="1" x14ac:dyDescent="0.3">
      <c r="A6" s="7" t="s">
        <v>307</v>
      </c>
      <c r="B6" s="7" t="s">
        <v>308</v>
      </c>
      <c r="C6" s="7" t="s">
        <v>207</v>
      </c>
      <c r="D6" s="7"/>
      <c r="E6" s="12">
        <v>0</v>
      </c>
      <c r="F6" s="12">
        <v>0</v>
      </c>
      <c r="G6" s="12">
        <v>0</v>
      </c>
      <c r="H6" s="12">
        <v>0</v>
      </c>
      <c r="I6" s="12">
        <v>0</v>
      </c>
    </row>
    <row r="7" spans="1:9" ht="15" customHeight="1" x14ac:dyDescent="0.3">
      <c r="A7" s="7" t="s">
        <v>159</v>
      </c>
      <c r="B7" s="7" t="s">
        <v>309</v>
      </c>
      <c r="C7" s="7" t="s">
        <v>207</v>
      </c>
      <c r="D7" s="7"/>
      <c r="E7" s="12">
        <v>0</v>
      </c>
      <c r="F7" s="12">
        <v>0</v>
      </c>
      <c r="G7" s="12">
        <v>0</v>
      </c>
      <c r="H7" s="12">
        <v>0</v>
      </c>
      <c r="I7" s="12">
        <v>0</v>
      </c>
    </row>
    <row r="8" spans="1:9" ht="15" customHeight="1" x14ac:dyDescent="0.3">
      <c r="A8" s="7" t="s">
        <v>310</v>
      </c>
      <c r="B8" s="7" t="s">
        <v>311</v>
      </c>
      <c r="C8" s="7" t="s">
        <v>207</v>
      </c>
      <c r="D8" s="7"/>
      <c r="E8" s="12">
        <v>0</v>
      </c>
      <c r="F8" s="12">
        <v>0</v>
      </c>
      <c r="G8" s="12">
        <v>0</v>
      </c>
      <c r="H8" s="12">
        <v>0</v>
      </c>
      <c r="I8" s="12">
        <v>0</v>
      </c>
    </row>
    <row r="9" spans="1:9" ht="15" customHeight="1" x14ac:dyDescent="0.3">
      <c r="A9" s="7" t="s">
        <v>312</v>
      </c>
      <c r="B9" s="7" t="s">
        <v>313</v>
      </c>
      <c r="C9" s="7" t="s">
        <v>207</v>
      </c>
      <c r="D9" s="7"/>
      <c r="E9" s="12">
        <v>0</v>
      </c>
      <c r="F9" s="12">
        <v>0</v>
      </c>
      <c r="G9" s="12">
        <v>0</v>
      </c>
      <c r="H9" s="12">
        <v>0</v>
      </c>
      <c r="I9" s="12">
        <v>0</v>
      </c>
    </row>
    <row r="10" spans="1:9" ht="15" customHeight="1" x14ac:dyDescent="0.3">
      <c r="A10" s="13" t="s">
        <v>291</v>
      </c>
      <c r="E10">
        <f>SUM(E5:E9)</f>
        <v>0</v>
      </c>
      <c r="F10">
        <f>SUM(F5:F9)</f>
        <v>0</v>
      </c>
      <c r="G10">
        <f>SUM(G5:G9)</f>
        <v>0</v>
      </c>
      <c r="H10">
        <f>SUM(H5:H9)</f>
        <v>0</v>
      </c>
      <c r="I10">
        <f>SUM(I5:I9)</f>
        <v>0</v>
      </c>
    </row>
    <row r="13" spans="1:9" ht="15" customHeight="1" x14ac:dyDescent="0.3">
      <c r="A13" s="16" t="s">
        <v>314</v>
      </c>
    </row>
    <row r="14" spans="1:9" ht="15" customHeight="1" x14ac:dyDescent="0.3">
      <c r="A14" s="7" t="s">
        <v>315</v>
      </c>
      <c r="B14" s="12">
        <v>0</v>
      </c>
    </row>
    <row r="15" spans="1:9" ht="15" customHeight="1" x14ac:dyDescent="0.3">
      <c r="A15" s="7" t="s">
        <v>316</v>
      </c>
      <c r="B15" s="12">
        <v>0</v>
      </c>
    </row>
    <row r="16" spans="1:9" ht="15" customHeight="1" x14ac:dyDescent="0.3">
      <c r="A16" s="7" t="s">
        <v>317</v>
      </c>
      <c r="B16" s="12">
        <v>0</v>
      </c>
    </row>
    <row r="17" spans="1:2" ht="15" customHeight="1" x14ac:dyDescent="0.3">
      <c r="A17" s="7" t="s">
        <v>318</v>
      </c>
      <c r="B17" s="12">
        <v>0</v>
      </c>
    </row>
  </sheetData>
  <mergeCells count="1">
    <mergeCell ref="A1:I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30"/>
  <sheetViews>
    <sheetView zoomScaleNormal="100" workbookViewId="0"/>
  </sheetViews>
  <sheetFormatPr defaultColWidth="8.6640625" defaultRowHeight="14.4" x14ac:dyDescent="0.3"/>
  <cols>
    <col min="1" max="1" width="12" customWidth="1"/>
    <col min="2" max="2" width="20" customWidth="1"/>
    <col min="3" max="3" width="25" customWidth="1"/>
    <col min="4" max="5" width="15" customWidth="1"/>
    <col min="6" max="6" width="18" customWidth="1"/>
    <col min="7" max="7" width="15" customWidth="1"/>
    <col min="8" max="8" width="12" customWidth="1"/>
    <col min="9" max="9" width="30" customWidth="1"/>
    <col min="10" max="10" width="12" customWidth="1"/>
    <col min="11" max="11" width="15" customWidth="1"/>
  </cols>
  <sheetData>
    <row r="1" spans="1:11" ht="19.5" customHeight="1" x14ac:dyDescent="0.35">
      <c r="A1" s="1" t="s">
        <v>319</v>
      </c>
      <c r="B1" s="1"/>
      <c r="C1" s="1"/>
      <c r="D1" s="1"/>
      <c r="E1" s="1"/>
      <c r="F1" s="1"/>
      <c r="G1" s="1"/>
      <c r="H1" s="1"/>
      <c r="I1" s="1"/>
      <c r="J1" s="1"/>
      <c r="K1" s="1"/>
    </row>
    <row r="3" spans="1:11" ht="15" customHeight="1" x14ac:dyDescent="0.3">
      <c r="A3" s="6" t="s">
        <v>76</v>
      </c>
      <c r="B3" s="6" t="s">
        <v>320</v>
      </c>
      <c r="C3" s="6" t="s">
        <v>321</v>
      </c>
      <c r="D3" s="6" t="s">
        <v>322</v>
      </c>
      <c r="E3" s="6" t="s">
        <v>323</v>
      </c>
      <c r="F3" s="6" t="s">
        <v>15</v>
      </c>
      <c r="G3" s="6" t="s">
        <v>202</v>
      </c>
      <c r="H3" s="6" t="s">
        <v>18</v>
      </c>
      <c r="I3" s="6" t="s">
        <v>203</v>
      </c>
      <c r="J3" s="6" t="s">
        <v>324</v>
      </c>
      <c r="K3" s="6" t="s">
        <v>325</v>
      </c>
    </row>
    <row r="4" spans="1:11" ht="15" customHeight="1" x14ac:dyDescent="0.3">
      <c r="A4" s="12"/>
      <c r="B4" s="12"/>
      <c r="C4" s="12"/>
      <c r="D4" s="12"/>
      <c r="E4" s="12"/>
      <c r="F4" s="12"/>
      <c r="G4" s="12"/>
      <c r="H4" s="12"/>
      <c r="I4" s="12"/>
      <c r="J4" s="12"/>
      <c r="K4" s="12"/>
    </row>
    <row r="5" spans="1:11" ht="15" customHeight="1" x14ac:dyDescent="0.3">
      <c r="A5" s="12"/>
      <c r="B5" s="12"/>
      <c r="C5" s="12"/>
      <c r="D5" s="12"/>
      <c r="E5" s="12"/>
      <c r="F5" s="12"/>
      <c r="G5" s="12"/>
      <c r="H5" s="12"/>
      <c r="I5" s="12"/>
      <c r="J5" s="12"/>
      <c r="K5" s="12"/>
    </row>
    <row r="6" spans="1:11" ht="15" customHeight="1" x14ac:dyDescent="0.3">
      <c r="A6" s="12"/>
      <c r="B6" s="12"/>
      <c r="C6" s="12"/>
      <c r="D6" s="12"/>
      <c r="E6" s="12"/>
      <c r="F6" s="12"/>
      <c r="G6" s="12"/>
      <c r="H6" s="12"/>
      <c r="I6" s="12"/>
      <c r="J6" s="12"/>
      <c r="K6" s="12"/>
    </row>
    <row r="7" spans="1:11" ht="15" customHeight="1" x14ac:dyDescent="0.3">
      <c r="A7" s="12"/>
      <c r="B7" s="12"/>
      <c r="C7" s="12"/>
      <c r="D7" s="12"/>
      <c r="E7" s="12"/>
      <c r="F7" s="12"/>
      <c r="G7" s="12"/>
      <c r="H7" s="12"/>
      <c r="I7" s="12"/>
      <c r="J7" s="12"/>
      <c r="K7" s="12"/>
    </row>
    <row r="8" spans="1:11" ht="15" customHeight="1" x14ac:dyDescent="0.3">
      <c r="A8" s="12"/>
      <c r="B8" s="12"/>
      <c r="C8" s="12"/>
      <c r="D8" s="12"/>
      <c r="E8" s="12"/>
      <c r="F8" s="12"/>
      <c r="G8" s="12"/>
      <c r="H8" s="12"/>
      <c r="I8" s="12"/>
      <c r="J8" s="12"/>
      <c r="K8" s="12"/>
    </row>
    <row r="9" spans="1:11" ht="15" customHeight="1" x14ac:dyDescent="0.3">
      <c r="A9" s="12"/>
      <c r="B9" s="12"/>
      <c r="C9" s="12"/>
      <c r="D9" s="12"/>
      <c r="E9" s="12"/>
      <c r="F9" s="12"/>
      <c r="G9" s="12"/>
      <c r="H9" s="12"/>
      <c r="I9" s="12"/>
      <c r="J9" s="12"/>
      <c r="K9" s="12"/>
    </row>
    <row r="10" spans="1:11" ht="15" customHeight="1" x14ac:dyDescent="0.3">
      <c r="A10" s="12"/>
      <c r="B10" s="12"/>
      <c r="C10" s="12"/>
      <c r="D10" s="12"/>
      <c r="E10" s="12"/>
      <c r="F10" s="12"/>
      <c r="G10" s="12"/>
      <c r="H10" s="12"/>
      <c r="I10" s="12"/>
      <c r="J10" s="12"/>
      <c r="K10" s="12"/>
    </row>
    <row r="11" spans="1:11" ht="15" customHeight="1" x14ac:dyDescent="0.3">
      <c r="A11" s="12"/>
      <c r="B11" s="12"/>
      <c r="C11" s="12"/>
      <c r="D11" s="12"/>
      <c r="E11" s="12"/>
      <c r="F11" s="12"/>
      <c r="G11" s="12"/>
      <c r="H11" s="12"/>
      <c r="I11" s="12"/>
      <c r="J11" s="12"/>
      <c r="K11" s="12"/>
    </row>
    <row r="12" spans="1:11" ht="15" customHeight="1" x14ac:dyDescent="0.3">
      <c r="A12" s="12"/>
      <c r="B12" s="12"/>
      <c r="C12" s="12"/>
      <c r="D12" s="12"/>
      <c r="E12" s="12"/>
      <c r="F12" s="12"/>
      <c r="G12" s="12"/>
      <c r="H12" s="12"/>
      <c r="I12" s="12"/>
      <c r="J12" s="12"/>
      <c r="K12" s="12"/>
    </row>
    <row r="13" spans="1:11" ht="15" customHeight="1" x14ac:dyDescent="0.3">
      <c r="A13" s="12"/>
      <c r="B13" s="12"/>
      <c r="C13" s="12"/>
      <c r="D13" s="12"/>
      <c r="E13" s="12"/>
      <c r="F13" s="12"/>
      <c r="G13" s="12"/>
      <c r="H13" s="12"/>
      <c r="I13" s="12"/>
      <c r="J13" s="12"/>
      <c r="K13" s="12"/>
    </row>
    <row r="14" spans="1:11" ht="15" customHeight="1" x14ac:dyDescent="0.3">
      <c r="A14" s="12"/>
      <c r="B14" s="12"/>
      <c r="C14" s="12"/>
      <c r="D14" s="12"/>
      <c r="E14" s="12"/>
      <c r="F14" s="12"/>
      <c r="G14" s="12"/>
      <c r="H14" s="12"/>
      <c r="I14" s="12"/>
      <c r="J14" s="12"/>
      <c r="K14" s="12"/>
    </row>
    <row r="15" spans="1:11" ht="15" customHeight="1" x14ac:dyDescent="0.3">
      <c r="A15" s="12"/>
      <c r="B15" s="12"/>
      <c r="C15" s="12"/>
      <c r="D15" s="12"/>
      <c r="E15" s="12"/>
      <c r="F15" s="12"/>
      <c r="G15" s="12"/>
      <c r="H15" s="12"/>
      <c r="I15" s="12"/>
      <c r="J15" s="12"/>
      <c r="K15" s="12"/>
    </row>
    <row r="16" spans="1:11" ht="15" customHeight="1" x14ac:dyDescent="0.3">
      <c r="A16" s="12"/>
      <c r="B16" s="12"/>
      <c r="C16" s="12"/>
      <c r="D16" s="12"/>
      <c r="E16" s="12"/>
      <c r="F16" s="12"/>
      <c r="G16" s="12"/>
      <c r="H16" s="12"/>
      <c r="I16" s="12"/>
      <c r="J16" s="12"/>
      <c r="K16" s="12"/>
    </row>
    <row r="17" spans="1:11" ht="15" customHeight="1" x14ac:dyDescent="0.3">
      <c r="A17" s="12"/>
      <c r="B17" s="12"/>
      <c r="C17" s="12"/>
      <c r="D17" s="12"/>
      <c r="E17" s="12"/>
      <c r="F17" s="12"/>
      <c r="G17" s="12"/>
      <c r="H17" s="12"/>
      <c r="I17" s="12"/>
      <c r="J17" s="12"/>
      <c r="K17" s="12"/>
    </row>
    <row r="18" spans="1:11" ht="15" customHeight="1" x14ac:dyDescent="0.3">
      <c r="A18" s="12"/>
      <c r="B18" s="12"/>
      <c r="C18" s="12"/>
      <c r="D18" s="12"/>
      <c r="E18" s="12"/>
      <c r="F18" s="12"/>
      <c r="G18" s="12"/>
      <c r="H18" s="12"/>
      <c r="I18" s="12"/>
      <c r="J18" s="12"/>
      <c r="K18" s="12"/>
    </row>
    <row r="19" spans="1:11" ht="15" customHeight="1" x14ac:dyDescent="0.3">
      <c r="A19" s="12"/>
      <c r="B19" s="12"/>
      <c r="C19" s="12"/>
      <c r="D19" s="12"/>
      <c r="E19" s="12"/>
      <c r="F19" s="12"/>
      <c r="G19" s="12"/>
      <c r="H19" s="12"/>
      <c r="I19" s="12"/>
      <c r="J19" s="12"/>
      <c r="K19" s="12"/>
    </row>
    <row r="20" spans="1:11" ht="15" customHeight="1" x14ac:dyDescent="0.3">
      <c r="A20" s="12"/>
      <c r="B20" s="12"/>
      <c r="C20" s="12"/>
      <c r="D20" s="12"/>
      <c r="E20" s="12"/>
      <c r="F20" s="12"/>
      <c r="G20" s="12"/>
      <c r="H20" s="12"/>
      <c r="I20" s="12"/>
      <c r="J20" s="12"/>
      <c r="K20" s="12"/>
    </row>
    <row r="21" spans="1:11" ht="15" customHeight="1" x14ac:dyDescent="0.3">
      <c r="A21" s="12"/>
      <c r="B21" s="12"/>
      <c r="C21" s="12"/>
      <c r="D21" s="12"/>
      <c r="E21" s="12"/>
      <c r="F21" s="12"/>
      <c r="G21" s="12"/>
      <c r="H21" s="12"/>
      <c r="I21" s="12"/>
      <c r="J21" s="12"/>
      <c r="K21" s="12"/>
    </row>
    <row r="22" spans="1:11" ht="15" customHeight="1" x14ac:dyDescent="0.3">
      <c r="A22" s="12"/>
      <c r="B22" s="12"/>
      <c r="C22" s="12"/>
      <c r="D22" s="12"/>
      <c r="E22" s="12"/>
      <c r="F22" s="12"/>
      <c r="G22" s="12"/>
      <c r="H22" s="12"/>
      <c r="I22" s="12"/>
      <c r="J22" s="12"/>
      <c r="K22" s="12"/>
    </row>
    <row r="23" spans="1:11" ht="15" customHeight="1" x14ac:dyDescent="0.3">
      <c r="A23" s="12"/>
      <c r="B23" s="12"/>
      <c r="C23" s="12"/>
      <c r="D23" s="12"/>
      <c r="E23" s="12"/>
      <c r="F23" s="12"/>
      <c r="G23" s="12"/>
      <c r="H23" s="12"/>
      <c r="I23" s="12"/>
      <c r="J23" s="12"/>
      <c r="K23" s="12"/>
    </row>
    <row r="26" spans="1:11" ht="15" customHeight="1" x14ac:dyDescent="0.3">
      <c r="A26" s="16" t="s">
        <v>326</v>
      </c>
    </row>
    <row r="27" spans="1:11" ht="15" customHeight="1" x14ac:dyDescent="0.3">
      <c r="A27" s="7" t="s">
        <v>327</v>
      </c>
      <c r="B27" s="7">
        <f>COUNTA(B4:B23)</f>
        <v>0</v>
      </c>
    </row>
    <row r="28" spans="1:11" ht="15" customHeight="1" x14ac:dyDescent="0.3">
      <c r="A28" s="7" t="s">
        <v>328</v>
      </c>
      <c r="B28" s="7">
        <f>COUNTIF(G4:G23,"Consultation")</f>
        <v>0</v>
      </c>
    </row>
    <row r="29" spans="1:11" ht="15" customHeight="1" x14ac:dyDescent="0.3">
      <c r="A29" s="7" t="s">
        <v>329</v>
      </c>
      <c r="B29" s="7">
        <f>COUNTIF(G4:G23,"Converted")</f>
        <v>0</v>
      </c>
    </row>
    <row r="30" spans="1:11" ht="15" customHeight="1" x14ac:dyDescent="0.3">
      <c r="A30" s="7" t="s">
        <v>330</v>
      </c>
      <c r="B30" s="11">
        <f>SUM(H4:H23)</f>
        <v>0</v>
      </c>
    </row>
  </sheetData>
  <mergeCells count="1">
    <mergeCell ref="A1:K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6"/>
  <sheetViews>
    <sheetView zoomScaleNormal="100" workbookViewId="0"/>
  </sheetViews>
  <sheetFormatPr defaultColWidth="8.6640625" defaultRowHeight="14.4" x14ac:dyDescent="0.3"/>
  <cols>
    <col min="1" max="1" width="15" customWidth="1"/>
    <col min="2" max="2" width="20" customWidth="1"/>
    <col min="3" max="3" width="35" customWidth="1"/>
    <col min="4" max="4" width="15" customWidth="1"/>
    <col min="5" max="5" width="30" customWidth="1"/>
  </cols>
  <sheetData>
    <row r="1" spans="1:5" ht="19.5" customHeight="1" x14ac:dyDescent="0.35">
      <c r="A1" s="1" t="s">
        <v>331</v>
      </c>
      <c r="B1" s="1"/>
      <c r="C1" s="1"/>
      <c r="D1" s="1"/>
      <c r="E1" s="1"/>
    </row>
    <row r="3" spans="1:5" ht="15" customHeight="1" x14ac:dyDescent="0.3">
      <c r="A3" s="6" t="s">
        <v>76</v>
      </c>
      <c r="B3" s="6" t="s">
        <v>332</v>
      </c>
      <c r="C3" s="6" t="s">
        <v>333</v>
      </c>
      <c r="D3" s="6" t="s">
        <v>334</v>
      </c>
      <c r="E3" s="6" t="s">
        <v>203</v>
      </c>
    </row>
    <row r="4" spans="1:5" ht="15" customHeight="1" x14ac:dyDescent="0.3">
      <c r="A4" s="12"/>
      <c r="B4" s="12" t="s">
        <v>335</v>
      </c>
      <c r="C4" s="12" t="s">
        <v>336</v>
      </c>
      <c r="D4" s="23">
        <v>800</v>
      </c>
      <c r="E4" s="12" t="s">
        <v>337</v>
      </c>
    </row>
    <row r="5" spans="1:5" ht="15" customHeight="1" x14ac:dyDescent="0.3">
      <c r="A5" s="12"/>
      <c r="B5" s="12" t="s">
        <v>338</v>
      </c>
      <c r="C5" s="12" t="s">
        <v>339</v>
      </c>
      <c r="D5" s="23">
        <v>0</v>
      </c>
      <c r="E5" s="12" t="s">
        <v>340</v>
      </c>
    </row>
    <row r="6" spans="1:5" ht="15" customHeight="1" x14ac:dyDescent="0.3">
      <c r="A6" s="12"/>
      <c r="B6" s="12" t="s">
        <v>341</v>
      </c>
      <c r="C6" s="12" t="s">
        <v>342</v>
      </c>
      <c r="D6" s="23">
        <v>0</v>
      </c>
      <c r="E6" s="12" t="s">
        <v>343</v>
      </c>
    </row>
    <row r="7" spans="1:5" ht="15" customHeight="1" x14ac:dyDescent="0.3">
      <c r="A7" s="12"/>
      <c r="B7" s="12" t="s">
        <v>344</v>
      </c>
      <c r="C7" s="12" t="s">
        <v>345</v>
      </c>
      <c r="D7" s="23">
        <v>0</v>
      </c>
      <c r="E7" s="12" t="s">
        <v>346</v>
      </c>
    </row>
    <row r="8" spans="1:5" ht="15" customHeight="1" x14ac:dyDescent="0.3">
      <c r="A8" s="12"/>
      <c r="B8" s="12" t="s">
        <v>347</v>
      </c>
      <c r="C8" s="12" t="s">
        <v>348</v>
      </c>
      <c r="D8" s="23">
        <v>0</v>
      </c>
      <c r="E8" s="12" t="s">
        <v>349</v>
      </c>
    </row>
    <row r="9" spans="1:5" ht="15" customHeight="1" x14ac:dyDescent="0.3">
      <c r="A9" s="12"/>
      <c r="B9" s="12"/>
      <c r="C9" s="12"/>
      <c r="D9" s="12"/>
      <c r="E9" s="12"/>
    </row>
    <row r="10" spans="1:5" ht="15" customHeight="1" x14ac:dyDescent="0.3">
      <c r="A10" s="12"/>
      <c r="B10" s="12"/>
      <c r="C10" s="12"/>
      <c r="D10" s="12"/>
      <c r="E10" s="12"/>
    </row>
    <row r="11" spans="1:5" ht="15" customHeight="1" x14ac:dyDescent="0.3">
      <c r="A11" s="12"/>
      <c r="B11" s="12"/>
      <c r="C11" s="12"/>
      <c r="D11" s="12"/>
      <c r="E11" s="12"/>
    </row>
    <row r="12" spans="1:5" ht="15" customHeight="1" x14ac:dyDescent="0.3">
      <c r="A12" s="12"/>
      <c r="B12" s="12"/>
      <c r="C12" s="12"/>
      <c r="D12" s="12"/>
      <c r="E12" s="12"/>
    </row>
    <row r="13" spans="1:5" ht="15" customHeight="1" x14ac:dyDescent="0.3">
      <c r="A13" s="12"/>
      <c r="B13" s="12"/>
      <c r="C13" s="12"/>
      <c r="D13" s="12"/>
      <c r="E13" s="12"/>
    </row>
    <row r="14" spans="1:5" ht="15" customHeight="1" x14ac:dyDescent="0.3">
      <c r="A14" s="12"/>
      <c r="B14" s="12"/>
      <c r="C14" s="12"/>
      <c r="D14" s="12"/>
      <c r="E14" s="12"/>
    </row>
    <row r="15" spans="1:5" ht="15" customHeight="1" x14ac:dyDescent="0.3">
      <c r="A15" s="12"/>
      <c r="B15" s="12"/>
      <c r="C15" s="12"/>
      <c r="D15" s="12"/>
      <c r="E15" s="12"/>
    </row>
    <row r="16" spans="1:5" ht="15" customHeight="1" x14ac:dyDescent="0.3">
      <c r="A16" s="12"/>
      <c r="B16" s="12"/>
      <c r="C16" s="12"/>
      <c r="D16" s="12"/>
      <c r="E16" s="12"/>
    </row>
    <row r="17" spans="1:5" ht="15" customHeight="1" x14ac:dyDescent="0.3">
      <c r="A17" s="12"/>
      <c r="B17" s="12"/>
      <c r="C17" s="12"/>
      <c r="D17" s="12"/>
      <c r="E17" s="12"/>
    </row>
    <row r="18" spans="1:5" ht="15" customHeight="1" x14ac:dyDescent="0.3">
      <c r="A18" s="12"/>
      <c r="B18" s="12"/>
      <c r="C18" s="12"/>
      <c r="D18" s="12"/>
      <c r="E18" s="12"/>
    </row>
    <row r="20" spans="1:5" ht="15" customHeight="1" x14ac:dyDescent="0.3">
      <c r="A20" s="13" t="s">
        <v>350</v>
      </c>
      <c r="D20" s="24">
        <f>SUM(D4:D19)</f>
        <v>800</v>
      </c>
    </row>
    <row r="23" spans="1:5" ht="15" customHeight="1" x14ac:dyDescent="0.3">
      <c r="A23" s="16" t="s">
        <v>351</v>
      </c>
    </row>
    <row r="24" spans="1:5" ht="15" customHeight="1" x14ac:dyDescent="0.3">
      <c r="A24" t="s">
        <v>352</v>
      </c>
      <c r="B24" s="25">
        <v>1200</v>
      </c>
    </row>
    <row r="25" spans="1:5" ht="15" customHeight="1" x14ac:dyDescent="0.3">
      <c r="A25" t="s">
        <v>353</v>
      </c>
      <c r="B25" s="25">
        <f>D20</f>
        <v>800</v>
      </c>
    </row>
    <row r="26" spans="1:5" ht="15" customHeight="1" x14ac:dyDescent="0.3">
      <c r="A26" t="s">
        <v>354</v>
      </c>
      <c r="B26" s="25">
        <f>B24-B25</f>
        <v>400</v>
      </c>
    </row>
  </sheetData>
  <mergeCells count="1">
    <mergeCell ref="A1:E1"/>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3"/>
  <sheetViews>
    <sheetView zoomScaleNormal="100" workbookViewId="0"/>
  </sheetViews>
  <sheetFormatPr defaultColWidth="8.6640625" defaultRowHeight="14.4" x14ac:dyDescent="0.3"/>
  <cols>
    <col min="1" max="1" width="100" customWidth="1"/>
  </cols>
  <sheetData>
    <row r="1" spans="1:4" ht="20.399999999999999" x14ac:dyDescent="0.35">
      <c r="A1" s="1" t="s">
        <v>355</v>
      </c>
      <c r="B1" s="1"/>
      <c r="C1" s="1"/>
      <c r="D1" s="1"/>
    </row>
    <row r="3" spans="1:4" ht="15.6" x14ac:dyDescent="0.3">
      <c r="A3" s="16" t="s">
        <v>356</v>
      </c>
    </row>
    <row r="4" spans="1:4" ht="349.5" customHeight="1" x14ac:dyDescent="0.3">
      <c r="A4" s="26" t="s">
        <v>357</v>
      </c>
    </row>
    <row r="6" spans="1:4" ht="15.6" x14ac:dyDescent="0.3">
      <c r="A6" s="16" t="s">
        <v>358</v>
      </c>
    </row>
    <row r="7" spans="1:4" ht="349.5" customHeight="1" x14ac:dyDescent="0.3">
      <c r="A7" s="26" t="s">
        <v>359</v>
      </c>
    </row>
    <row r="9" spans="1:4" ht="15.6" x14ac:dyDescent="0.3">
      <c r="A9" s="16" t="s">
        <v>360</v>
      </c>
    </row>
    <row r="10" spans="1:4" ht="279.75" customHeight="1" x14ac:dyDescent="0.3">
      <c r="A10" s="26" t="s">
        <v>361</v>
      </c>
    </row>
    <row r="12" spans="1:4" ht="15.6" x14ac:dyDescent="0.3">
      <c r="A12" s="16" t="s">
        <v>362</v>
      </c>
    </row>
    <row r="13" spans="1:4" ht="300" customHeight="1" x14ac:dyDescent="0.3">
      <c r="A13" s="26" t="s">
        <v>363</v>
      </c>
    </row>
  </sheetData>
  <mergeCells count="1">
    <mergeCell ref="A1:D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Market Research</vt:lpstr>
      <vt:lpstr>90-Day Timeline</vt:lpstr>
      <vt:lpstr>Reddit Tracker</vt:lpstr>
      <vt:lpstr>YouTube Tracker</vt:lpstr>
      <vt:lpstr>Customers</vt:lpstr>
      <vt:lpstr>Expenses</vt:lpstr>
      <vt:lpstr>Reddit Templates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Timothy Balch</cp:lastModifiedBy>
  <cp:revision>0</cp:revision>
  <dcterms:created xsi:type="dcterms:W3CDTF">2025-12-23T01:56:40Z</dcterms:created>
  <dcterms:modified xsi:type="dcterms:W3CDTF">2025-12-23T23:48:54Z</dcterms:modified>
  <dc:language>en-US</dc:language>
</cp:coreProperties>
</file>